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Нэгжийн_тайлан" sheetId="1" r:id="rId5"/>
    <sheet state="hidden" name="99_Сонголтууд" sheetId="2" r:id="rId6"/>
    <sheet state="visible" name="02_Ажлын_жагсаалт" sheetId="3" r:id="rId7"/>
    <sheet state="visible" name="03_Заавар" sheetId="4" r:id="rId8"/>
  </sheets>
  <definedNames/>
  <calcPr/>
</workbook>
</file>

<file path=xl/sharedStrings.xml><?xml version="1.0" encoding="utf-8"?>
<sst xmlns="http://schemas.openxmlformats.org/spreadsheetml/2006/main" count="176" uniqueCount="144">
  <si>
    <t>Төлөв</t>
  </si>
  <si>
    <t>НЭГЖИЙН АЖИЛТНЫ УЛИРЛЫН ТАЙЛАН</t>
  </si>
  <si>
    <t>Улирал</t>
  </si>
  <si>
    <t>Үнэлгээ</t>
  </si>
  <si>
    <t>Хугацаандаа эсэх</t>
  </si>
  <si>
    <t>Дууссан</t>
  </si>
  <si>
    <t>2026 Q1</t>
  </si>
  <si>
    <t>Тийм</t>
  </si>
  <si>
    <t>Явагдаж байна</t>
  </si>
  <si>
    <t>2026 Q2</t>
  </si>
  <si>
    <t>Үгүй</t>
  </si>
  <si>
    <t>Хүлээгдэж байна</t>
  </si>
  <si>
    <t>АЖЛЫН ДЭЛГЭРЭНГҮЙ ЖАГСААЛТ</t>
  </si>
  <si>
    <t>2026 Q3</t>
  </si>
  <si>
    <t>Хойшлогдсон</t>
  </si>
  <si>
    <t>2026 Q4</t>
  </si>
  <si>
    <t>Цуцлагдсан</t>
  </si>
  <si>
    <t>2027 Q1</t>
  </si>
  <si>
    <t>2027 Q2</t>
  </si>
  <si>
    <t>2027 Q3</t>
  </si>
  <si>
    <t>2027 Q4</t>
  </si>
  <si>
    <t>ТАЙЛАН АШИГЛАХ ТОВЧ ЗААВАР</t>
  </si>
  <si>
    <t>Нэгжийн ажилтны улирлын гүйцэтгэлийг нотолгоотой бүртгэх хэсэг</t>
  </si>
  <si>
    <t>Бөглөх нүднүүд улбар шар дэвсгэртэй. Ажлын жагсаалтаас хураангуй үзүүлэлтүүд автоматаар тооцогдоно.</t>
  </si>
  <si>
    <t>1. Ажил, төсөл, гүйцэтгэлийн бүртгэл</t>
  </si>
  <si>
    <t>Өнгөний тайлбар</t>
  </si>
  <si>
    <t>Оруулах нүд</t>
  </si>
  <si>
    <t>№</t>
  </si>
  <si>
    <t>Ажилтан бөглөх талбар</t>
  </si>
  <si>
    <t>Ажил / төслийн нэр</t>
  </si>
  <si>
    <t>Томьёотой нүд</t>
  </si>
  <si>
    <t>Зорилттой холбоо / хариуцсан үүрэг</t>
  </si>
  <si>
    <t>Автоматаар тооцогдох талбар</t>
  </si>
  <si>
    <t>Эхлэх огноо</t>
  </si>
  <si>
    <t>Төлөвлөсөн дуусах огноо</t>
  </si>
  <si>
    <t>Анхаарах үзүүлэлт</t>
  </si>
  <si>
    <t>Бодит дууссан огноо</t>
  </si>
  <si>
    <t>Хугацаа хэтэрсэн эсвэл биелэлт бага үед өнгөөр ялгарна</t>
  </si>
  <si>
    <t>Биелэлт %</t>
  </si>
  <si>
    <t>Бөглөх дараалал</t>
  </si>
  <si>
    <t>Чанарын өөрийн үнэлгээ /1-10/</t>
  </si>
  <si>
    <t>Тайлбар / нотолгоо</t>
  </si>
  <si>
    <t>1.</t>
  </si>
  <si>
    <t>01_Нэгжийн_тайлан sheet дээр ажилтны үндсэн мэдээлэл, гол зорилт, дүгнэлт хэсгийг бөглөнө.</t>
  </si>
  <si>
    <t>2.</t>
  </si>
  <si>
    <t>02_Ажлын_жагсаалт sheet дээр улирлын ажлуудыг нэг бүрчлэн оруулна.</t>
  </si>
  <si>
    <t>3.</t>
  </si>
  <si>
    <t>Биелэлт %, хугацаандаа эсэх, чанарын үнэлгээ нь 01_Нэгжийн_тайлан sheet дээр автоматаар хураангуйлагдана.</t>
  </si>
  <si>
    <t>4.</t>
  </si>
  <si>
    <t xml:space="preserve">PRACTICAL Life Insurance брэнд гайдлайн ба визуал идентити хөгжүүлэлт
</t>
  </si>
  <si>
    <t>Гарын үсгийн хэсэг, тайлан өгсөн огноог хадгалахаас өмнө шалгана.</t>
  </si>
  <si>
    <t>Брэндийн лого шинэчлэлт, өнгөний палитр, хэв маяг, паттерн, визуал гайдлайн 45 Figma эх файл боловсруулж Monolithic брэнд архитектурт нийцүүлэх.</t>
  </si>
  <si>
    <t>Brand guidelines, Logo variations, Primary palette (Life Green, Nature Dark, Navy Blue), Typography, 45 Figma files.</t>
  </si>
  <si>
    <t>MCS Группт зориулсан Тээврийн хэрэгслийн даатгалын тусгай брошур</t>
  </si>
  <si>
    <t>MCS группийн ажилтнуудын тээврийн хэрэгслийн даатгалын нөхцөл, салбаруудын байршил, 5 сая тутмын эрсдэлийн хамгаалалтын брошурын эх бэлтгэл.</t>
  </si>
  <si>
    <t>MCS корпорацийн түншлэлд зориулсан брошур илгээгдсэн.</t>
  </si>
  <si>
    <t xml:space="preserve">Эрүүл мэндийн хамтын ажиллагаа болон PR постерууд </t>
  </si>
  <si>
    <t>Топаз эмнэлэг, Альфамедикал Сэргээн засах төвтэй хамтран ажиллах гэрээ, брэнд хамтын ажиллагаа болон шагнал хүртсэн тухай постер бэлтгэх.</t>
  </si>
  <si>
    <t>Эмнэлгүүдийн түншлэлийн баннер ба сошиал постерууд нийтлэгдсэн.</t>
  </si>
  <si>
    <t>2025 оны Нийгмийн хариуцлага ба Тогтвортой хөгжлийн нэгдсэн тайлангийн эх бэлтгэл</t>
  </si>
  <si>
    <t>Компанийн 2025 оны ESG, нийгмийн хариуцлага, Ногоон даатгал, засаглал, хүний нөөцийн тайлангийн 17+ нүүр визуал дизайн, эх бэлтгэх.</t>
  </si>
  <si>
    <t>Тогтвортой хөгжлийн 2025 оны тайлангийн иж бүрэн visual эх бэлтгэл дууссан.</t>
  </si>
  <si>
    <t>Хүний нөөцийн "We are hiring!" болон Корпорейт урамшууллын постерууд</t>
  </si>
  <si>
    <t>Салбарын захирлын ажлын байрны "We are hiring!" сошиал постер болон Бодь группийн ажилтнуудад зориулсан 25% хөнгөлөлтийн постер хийх.</t>
  </si>
  <si>
    <t>Практикал Даатгал ХХК | Нэгжийн ажилтны гүйцэтгэл, ирц, хөгжил, дүгнэлтийн template</t>
  </si>
  <si>
    <t>HR болон B2B ажилтнуудын хөнгөлөлтийн постерууд хэвлэгдэж, нийтлэгдсэн.</t>
  </si>
  <si>
    <t>"Брокер хамтын ажиллагааны амжилт 2026" эвент урилга, хөтөлбөр &amp; сошиал дизайн</t>
  </si>
  <si>
    <t>Брокер, байгууллагын харилцагчдын эвентэд зориулсан typography-focused layout, хар улбар шар өнгөний контрасттай invitation ба хөтөлбөрийн эх бэлтгэх.</t>
  </si>
  <si>
    <t>Эвент invitation (Post 53, 54), хөтөлбөрийн кардууд хэвлэмэл ба дижитал байдлаар бэлэн болсон.</t>
  </si>
  <si>
    <t>B2B Даатгалын бүтээгдэхүүний танилцуулга постер цуврал (Ачаа тээвэр, Бизнес тасалдлын даатгал)</t>
  </si>
  <si>
    <t>"Үйлдвэрийн дарга нар эрсдэлийг хэрхэн хардаг вэ?" цувралын Ачаа тээврийн даатгал, Бизнес тасалдлын даатгалын B2B постерууд бэлтгэх.</t>
  </si>
  <si>
    <t>1. Ажилтны үндсэн мэдээлэл</t>
  </si>
  <si>
    <t>B2B харилцагчдад зориулсан цуврал постерууд нийтлэгдсэн. Campaign ажил тул 7 хоног бүр бэлддэг байсан.</t>
  </si>
  <si>
    <t>5-р сарын Креатив фото арт хөгжүүлэлт ба Midjourney AI хэрэгслийн ахисан шатны фото хөгжүүлэлт</t>
  </si>
  <si>
    <t xml:space="preserve">Midjourney AI болон Photoshop ашиглан 9 багц creative content нийлүүлсэн. </t>
  </si>
  <si>
    <t>Ажилтны овог, нэр</t>
  </si>
  <si>
    <t>Төмөрбаатар Өсөхбаяр</t>
  </si>
  <si>
    <t>Тайлан гаргаж буй ажилтан</t>
  </si>
  <si>
    <t>10+ постер ба стори контент сошиал сувгуудаар цацагдсан.</t>
  </si>
  <si>
    <t>Т.Өсөхбаяр</t>
  </si>
  <si>
    <t>Албан тушаал</t>
  </si>
  <si>
    <t>График дизайнер</t>
  </si>
  <si>
    <t>Хариуцсан үүрэг</t>
  </si>
  <si>
    <t>B2B чиглэлийн Даатгалын вектор иллюстраци болон ассетууд зурах</t>
  </si>
  <si>
    <t>Контент төлөвлөгөөний дагуу дизайн боловсруулах</t>
  </si>
  <si>
    <t>Ачааны машин, суудлын тэрэг, агуулахын хайрцаг, дуулга, барилгын 5 багц вектор иллюстраци эх зурж боловсруулах.</t>
  </si>
  <si>
    <t>Тайлангийн улирал</t>
  </si>
  <si>
    <t>5 эх иллюстраци бэлдэж, цуврал реклам poster-уудад ашигласан. Campaign ажил тул 7 хоног бүр бэлддэг байсан.</t>
  </si>
  <si>
    <t>"Даатгалтай байлаа гээд..." Safety Awareness Campaign цуврал постерууд</t>
  </si>
  <si>
    <t>Нэгж / хэлтэс</t>
  </si>
  <si>
    <t>Маркетинг</t>
  </si>
  <si>
    <t>Хурд хэтрүүлэх, утсаар ярих, дохио өгөхгүй байх, гэрэл шилжүүлэхгүй байхын эсрэг 9 өөр сэдэвт хариуцлагатай жолоодлогын постерууд.</t>
  </si>
  <si>
    <t>Тайлан өгсөн огноо</t>
  </si>
  <si>
    <t>Удирдлага</t>
  </si>
  <si>
    <t>Ц.Баярмаа</t>
  </si>
  <si>
    <t>Facebook &amp; Instagram орчны unified campaign visual system цацагдсан. Campaign ажил тул 7 хоног бүр бэлддэг байсан.</t>
  </si>
  <si>
    <t>Perspective &amp; Cinematic visual style бүхий сошиал постер болон story контентууд</t>
  </si>
  <si>
    <t>Жолоочийн бодит орчны perspective зураглал, cinematic өнгө бүхий FB post (64, 69, 139, 140, 141, 142, 182, 183, 191, 192) ба IG story-нууд.</t>
  </si>
  <si>
    <t>2. Гол зорилт ба биелэлтийн үнэлгээ</t>
  </si>
  <si>
    <t xml:space="preserve"> Замын хөдөлгөөний аюулгүй байдлын креатив арт постер</t>
  </si>
  <si>
    <t>Замын хөдөлгөөний эрсдэлээс урьдчилан сэргийлэх хамгаалалтын санааг хөөсөн хамгаалалттай авто машины концепцоор бүтээлчээр бэлтгэх.</t>
  </si>
  <si>
    <t>Гол зорилт /улиралд тавьсан зорилтууд/</t>
  </si>
  <si>
    <t>Creative poster campaign амжилттай бэлтгэгдэж нийтлэгдсэн.</t>
  </si>
  <si>
    <t>2026 оны II улиралд PRACTICAL Даатгалын брэндийн визуал идентити, маркетингийн контент болон дижитал сувгийн дизайны хөгжүүлэлтийг сайжруулах зорилгын хүрээнд дараах ажлуудыг хэрэгжүүлэв.
Үүнд:
- PRACTICAL Life Insurance брэндийн лого, өнгөний палитр, typography, график элемент бүхий брэнд гайдлайн болон визуал систем боловсруулах;
- Брэндийн нэгдсэн өнгө төрхийг хадгалах Figma эх файл, дизайн ассет, reusable template-уудыг бэлтгэх;
- Даатгалын бүтээгдэхүүний борлуулалтыг дэмжих B2B болон B2C чиглэлийн постер, баннер, сурталчилгааны материал боловсруулах;
- Сошиал сувгуудад зориулсан креатив постер, story, reels болон видео контентын дизайн, эх бэлтгэл хийх;
- Замын хөдөлгөөний аюулгүй байдал, даатгалын мэдлэг олгох awareness campaign-ийн визуал контентуудыг хөгжүүлэх;
- Байгууллагын хамтын ажиллагаа, эвент, HR болон корпоратив харилцаанд зориулсан брошур, постер, танилцуулгын материал боловсруулах;
- Midjourney AI, Photoshop, Illustrator, Figma зэрэг хэрэгслүүдийг ашиглан чанартай creative asset болон маркетингийн материалууд боловсруулах;
- Бүх дизайн ажлыг брэндийн стандарт, чанарын шаардлагад нийцүүлэн хугацаанд нь боловсруулж хүлээлгэн өгөх.</t>
  </si>
  <si>
    <t>Авто даатгал (Найдвартай, Ухаалаг, Хялбар) дижитал борлуулалтын постерууд</t>
  </si>
  <si>
    <t>1.5%, 2.5% хураамжийн хувьтай, 10 сая, 2 сая нөхөн төлбөрийн нөхцөлтэй авто даатгалын сошиал борлуулалтын visual контентууд.</t>
  </si>
  <si>
    <t>Дижитал борлуулалтыг дэмжих борлуулалтын постерууд цацагдсан.</t>
  </si>
  <si>
    <t>Reels &amp; Шорт видео контентуудын эх бэлтгэл, видео монтаж (CapCut, After Effects)</t>
  </si>
  <si>
    <t>Үзүүлэлт</t>
  </si>
  <si>
    <t>Төлөвлөгөө / зорилт</t>
  </si>
  <si>
    <t>Замын аюулгүй байдал, түймрийн аюулаас сэргийлэх (#SafetySharing) 5 видео/reels контентын эх бэлтгэх, субтитр болон видео монтаж хийх.</t>
  </si>
  <si>
    <t>Гүйцэтгэл</t>
  </si>
  <si>
    <t>Хувь / үнэлгээ</t>
  </si>
  <si>
    <t>Тайлбар</t>
  </si>
  <si>
    <t/>
  </si>
  <si>
    <t>11 Reels видео бэлдэж монтажлан сошиал сувгуудад байршуулсан.</t>
  </si>
  <si>
    <t>Фото графикийн ассетууд ба эх файл бэлтгэл (Photoshop, Figma, Ai)</t>
  </si>
  <si>
    <t>Тайлант хугацаанд 382 visual asset, 239 драфт макет, 29 Photoshop эх бэлтгэл, 19 published design-ийг чанартай хийж дуусгах.</t>
  </si>
  <si>
    <t>Биелэлт (%)</t>
  </si>
  <si>
    <t>Нийт 160 цаг, 20 ажлын өдөрт төлөвлөсөн бүх ассет, эх файлуудыг 100% хүлээлгэн өгсөн.</t>
  </si>
  <si>
    <t>Practical app launch poster</t>
  </si>
  <si>
    <t>Practical application appstore, playstore дээр release хийсэнтэй холбоотой poster</t>
  </si>
  <si>
    <t>2-р улирлын төлөвлөгөөний дагуух ажлуудыг цаг тухайд нь чанартайгаар хийж гүйцэтгэсэн.</t>
  </si>
  <si>
    <t>Хугацаанд багтаасан ажлын хувь</t>
  </si>
  <si>
    <t>Чанарын үнэлгээ /өөрийн үнэлгээ 1-10/</t>
  </si>
  <si>
    <t>Нийт ажлын тоо</t>
  </si>
  <si>
    <t>Дууссан ажлын тоо</t>
  </si>
  <si>
    <t>3. Улирлын ажлын дэлгэрэнгүй тайлан</t>
  </si>
  <si>
    <t>Гүйцэтгэсэн ажлууд /дууссан төсөл, тайлбар/</t>
  </si>
  <si>
    <r>
      <rPr>
        <rFont val="Times New Roman"/>
        <color rgb="FF1F2933"/>
        <sz val="10.0"/>
      </rPr>
      <t xml:space="preserve">Тайлант хугацаанд төлөвлөсөн ажлуудыг 100% биелэлттэй дуусгасан. 
</t>
    </r>
    <r>
      <rPr>
        <rFont val="Times New Roman"/>
        <b/>
        <i/>
        <color rgb="FF1F2933"/>
        <sz val="10.0"/>
      </rPr>
      <t>PRACTICAL Life Insurance брэнд guideline:</t>
    </r>
    <r>
      <rPr>
        <rFont val="Times New Roman"/>
        <color rgb="FF1F2933"/>
        <sz val="10.0"/>
      </rPr>
      <t xml:space="preserve"> Лого шинэчлэлт, өнгөний палитр, паттерн бүхий 45 Figma эх файл боловсруулж, Monolithic брэнд архитектурт бүрэн нийцүүлэн хүлээлгэн өгсөн.
</t>
    </r>
    <r>
      <rPr>
        <rFont val="Times New Roman"/>
        <b/>
        <i/>
        <color rgb="FF1F2933"/>
        <sz val="10.0"/>
      </rPr>
      <t>"Даатгалтай байлаа гээд..." Safety Awareness Campaign:</t>
    </r>
    <r>
      <rPr>
        <rFont val="Times New Roman"/>
        <color rgb="FF1F2933"/>
        <sz val="10.0"/>
      </rPr>
      <t xml:space="preserve"> Хариуцлагатай жолоодлогыг дэмжсэн 9 өөр сэдэвт цуврал постерууд болон креатив арт постерийг бэлтгэж, FB ба IG орчинд нэгдмэл визуал системээр цацсан. 
</t>
    </r>
    <r>
      <rPr>
        <rFont val="Times New Roman"/>
        <b/>
        <i/>
        <color rgb="FF1F2933"/>
        <sz val="10.0"/>
      </rPr>
      <t>B2B Даатгалын цуврал &amp; Вектор Иллюстраци:</t>
    </r>
    <r>
      <rPr>
        <rFont val="Times New Roman"/>
        <color rgb="FF1F2933"/>
        <sz val="10.0"/>
      </rPr>
      <t xml:space="preserve"> "Үйлдвэрийн дарга нар эрсдэлийг хэрхэн хардаг вэ?" B2B постерууд болон ачааны машин, барилгын дуулга бүхий 5 багц вектор иллюстрацийг зурж хөгжүүлсэн. 
</t>
    </r>
    <r>
      <rPr>
        <rFont val="Times New Roman"/>
        <b/>
        <i/>
        <color rgb="FF1F2933"/>
        <sz val="10.0"/>
      </rPr>
      <t>Reels/Shorts видео контентууд &amp; App Launch Visuals:</t>
    </r>
    <r>
      <rPr>
        <rFont val="Times New Roman"/>
        <color rgb="FF1F2933"/>
        <sz val="10.0"/>
      </rPr>
      <t xml:space="preserve"> After Effects болон CapCut ашиглан аюулгүй байдлын (#SafetySharing) 11 видео контент монтажилсан болон Practical App-ын худалдааны системд цацагдсан борлуулалтын эхүүдийг бэлтгэсэн. 
</t>
    </r>
    <r>
      <rPr>
        <rFont val="Times New Roman"/>
        <b/>
        <i/>
        <color rgb="FF1F2933"/>
        <sz val="10.0"/>
      </rPr>
      <t>ESG Тайлан &amp; Корпорейт эвент:</t>
    </r>
    <r>
      <rPr>
        <rFont val="Times New Roman"/>
        <color rgb="FF1F2933"/>
        <sz val="10.0"/>
      </rPr>
      <t xml:space="preserve"> Компанийн 2025 оны ESG ба Тогтвортой хөгжлийн тайлан (17+ нүүр), MCS брошур, "Брокер 2026" эвентийн визуал эх ба 382 visual asset бэлтгэсэн. </t>
    </r>
  </si>
  <si>
    <t>Сургалт, хөгжил, нийгмийн ажилд оролцсон мэдээ</t>
  </si>
  <si>
    <r>
      <rPr>
        <rFont val="Times New Roman"/>
        <b/>
        <i/>
        <color rgb="FF1F2933"/>
        <sz val="10.0"/>
      </rPr>
      <t xml:space="preserve">AI технологийн практик хэрэглээ: </t>
    </r>
    <r>
      <rPr>
        <rFont val="Times New Roman"/>
        <color rgb="FF1F2933"/>
        <sz val="10.0"/>
      </rPr>
      <t xml:space="preserve">Midjourney AI хэрэгслийн ахисан шатны генерацийг Photoshop-той хослуулан 9 багц Cinematic Visual Art бэлтгэн маркетингдаа нэвтрүүлсэн.
</t>
    </r>
    <r>
      <rPr>
        <rFont val="Times New Roman"/>
        <b/>
        <i/>
        <color rgb="FF1F2933"/>
        <sz val="10.0"/>
      </rPr>
      <t xml:space="preserve">Дижитал медиа ба видео монтаж: </t>
    </r>
    <r>
      <rPr>
        <rFont val="Times New Roman"/>
        <color rgb="FF1F2933"/>
        <sz val="10.0"/>
      </rPr>
      <t>After Effects болон CapCut программ дээр шорт видео монтаж хийх, субтитржуулах технологид суралцаж 11 видео контент болон ESG тайлангийн дизайныг гүйцэтгэсэн.                                                 Байгууллагаас зохион байгуулсан арга хэмжээнүүдэд идэвхтэй оролцсон.</t>
    </r>
  </si>
  <si>
    <t>Сайн дурын санаачилга</t>
  </si>
  <si>
    <r>
      <rPr>
        <rFont val="Times New Roman"/>
        <color rgb="FF1F2933"/>
        <sz val="10.0"/>
      </rPr>
      <t xml:space="preserve">
</t>
    </r>
    <r>
      <rPr>
        <rFont val="Times New Roman"/>
        <b/>
        <i/>
        <color rgb="FF1F2933"/>
        <sz val="10.0"/>
      </rPr>
      <t>Дизайны визуал ассет сан (Asset Library)</t>
    </r>
    <r>
      <rPr>
        <rFont val="Times New Roman"/>
        <color rgb="FF1F2933"/>
        <sz val="10.0"/>
      </rPr>
      <t xml:space="preserve">: Цаашид маркетингийн багаас дахин ашиглах боломжтой 382 визуал ассет, 5 багц вектор иллюстрацийг эхээс нь зурж, байгууллагын дизайнерын санг үүсгэсэн.                                                </t>
    </r>
  </si>
  <si>
    <t>Сайжруулах шаардлагатай талууд /удирдлагын санал, зөвлөмж/</t>
  </si>
  <si>
    <t>Дүгнэлт /улирлын ерөнхий үнэлгээ/</t>
  </si>
  <si>
    <t>Тайлант улирлын хугацаандМаркетинг, брэнд визуал дизайн чиглэлээр төлөвлөгдсөн ажлын даалгавруудыг цаг тухайд нь чанартай гүйцэтгэсэн байна.
Брэнд гайдлайн, ESG тайлан зэрэг маркетингийн томоохон ажлуудыг чанартай хийхийн сацуу Practical Mobile App UI/UX сайжруулалт, Вебсайт нэгтгэл, Агент системийн шаардлага тодорхойлох болон Брэнд Маскот UI интеграци зэрэг дижитал бүтээгдэхүүний систем хөгжүүлэлтэд өндөр ахиц гаргаж, сайн дурын санаачилгатай, амжилттай ажилласан гэж дүгнэж байна.</t>
  </si>
  <si>
    <t>4. Ирц, амралт, гарын үсэг</t>
  </si>
  <si>
    <t>Хоцролт /минут/</t>
  </si>
  <si>
    <t>Таслалт /өдөр/</t>
  </si>
  <si>
    <t>Ээлжийн амралт эдэлсэн байдал /өдөр/</t>
  </si>
  <si>
    <t>Ажилтны гарын үсэг</t>
  </si>
  <si>
    <t>Удирдлагын гарын үсэг</t>
  </si>
  <si>
    <t>Огноо</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</si>
</sst>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0.0%"/>
    <numFmt numFmtId="166" formatCode="0.0"/>
    <numFmt numFmtId="167" formatCode="#,##0.0"/>
  </numFmts>
  <fonts count="19">
    <font>
      <sz val="11.0"/>
      <color theme="1"/>
      <name val="Calibri"/>
      <scheme val="minor"/>
    </font>
    <font>
      <color theme="1"/>
      <name val="Calibri"/>
      <scheme val="minor"/>
    </font>
    <font>
      <b/>
      <sz val="16.0"/>
      <color rgb="FFFFFFFF"/>
      <name val="Times New Roman"/>
    </font>
    <font/>
    <font>
      <b/>
      <sz val="16.0"/>
      <color rgb="FFFFFFFF"/>
      <name val="Arial"/>
    </font>
    <font>
      <sz val="9.0"/>
      <color rgb="FF2F3437"/>
      <name val="Times New Roman"/>
    </font>
    <font>
      <sz val="11.0"/>
      <color theme="1"/>
      <name val="Times New Roman"/>
    </font>
    <font>
      <sz val="9.0"/>
      <color rgb="FF2F3437"/>
      <name val="Arial"/>
    </font>
    <font>
      <b/>
      <sz val="11.0"/>
      <color rgb="FFFFFFFF"/>
      <name val="Times New Roman"/>
    </font>
    <font>
      <b/>
      <sz val="11.0"/>
      <color rgb="FFFFFFFF"/>
      <name val="Arial"/>
    </font>
    <font>
      <b/>
      <sz val="9.0"/>
      <color rgb="FF2F3437"/>
      <name val="Arial"/>
    </font>
    <font>
      <b/>
      <sz val="9.0"/>
      <color rgb="FFFFFFFF"/>
      <name val="Times New Roman"/>
    </font>
    <font>
      <sz val="10.0"/>
      <color rgb="FF1F2933"/>
      <name val="Arial"/>
    </font>
    <font>
      <sz val="9.0"/>
      <color rgb="FF1F2933"/>
      <name val="Times New Roman"/>
    </font>
    <font>
      <sz val="11.0"/>
      <color rgb="FF1F2933"/>
      <name val="Times New Roman"/>
    </font>
    <font>
      <sz val="11.0"/>
      <color rgb="FFCCCCCC"/>
      <name val="Ui-Sans-Serif"/>
    </font>
    <font>
      <b/>
      <sz val="9.0"/>
      <color rgb="FF2F3437"/>
      <name val="Times New Roman"/>
    </font>
    <font>
      <sz val="10.0"/>
      <color rgb="FF1F2933"/>
      <name val="Times New Roman"/>
    </font>
    <font>
      <sz val="9.0"/>
      <color rgb="FF1F2933"/>
      <name val="Arial"/>
    </font>
  </fonts>
  <fills count="8">
    <fill>
      <patternFill patternType="none"/>
    </fill>
    <fill>
      <patternFill patternType="lightGray"/>
    </fill>
    <fill>
      <patternFill patternType="solid">
        <fgColor rgb="FFF05331"/>
        <bgColor rgb="FFF05331"/>
      </patternFill>
    </fill>
    <fill>
      <patternFill patternType="solid">
        <fgColor rgb="FFFDECE7"/>
        <bgColor rgb="FFFDECE7"/>
      </patternFill>
    </fill>
    <fill>
      <patternFill patternType="solid">
        <fgColor rgb="FF2F3437"/>
        <bgColor rgb="FF2F3437"/>
      </patternFill>
    </fill>
    <fill>
      <patternFill patternType="solid">
        <fgColor rgb="FFF6F7F9"/>
        <bgColor rgb="FFF6F7F9"/>
      </patternFill>
    </fill>
    <fill>
      <patternFill patternType="solid">
        <fgColor rgb="FFFFFFFF"/>
        <bgColor rgb="FFFFFFFF"/>
      </patternFill>
    </fill>
    <fill>
      <patternFill patternType="solid">
        <fgColor rgb="FFFFF3E0"/>
        <bgColor rgb="FFFFF3E0"/>
      </patternFill>
    </fill>
  </fills>
  <borders count="16">
    <border/>
    <border>
      <left/>
      <top/>
      <bottom style="thick">
        <color rgb="FF9C2E19"/>
      </bottom>
    </border>
    <border>
      <top/>
      <bottom style="thick">
        <color rgb="FF9C2E19"/>
      </bottom>
    </border>
    <border>
      <right/>
      <top/>
      <bottom style="thick">
        <color rgb="FF9C2E19"/>
      </bottom>
    </border>
    <border>
      <left/>
      <top/>
      <bottom/>
    </border>
    <border>
      <top/>
      <bottom/>
    </border>
    <border>
      <right/>
      <top/>
      <bottom/>
    </border>
    <border>
      <left/>
      <top/>
      <bottom style="medium">
        <color rgb="FFF05331"/>
      </bottom>
    </border>
    <border>
      <top/>
      <bottom style="medium">
        <color rgb="FFF05331"/>
      </bottom>
    </border>
    <border>
      <right/>
      <top/>
      <bottom style="medium">
        <color rgb="FFF05331"/>
      </bottom>
    </border>
    <border>
      <left/>
      <right/>
      <top/>
      <bottom style="thin">
        <color rgb="FFD9DEE3"/>
      </bottom>
    </border>
    <border>
      <left/>
      <right/>
      <top/>
      <bottom style="medium">
        <color rgb="FF9C2E19"/>
      </bottom>
    </border>
    <border>
      <left/>
      <right/>
      <top/>
      <bottom style="hair">
        <color rgb="FFE6E9ED"/>
      </bottom>
    </border>
    <border>
      <left/>
      <top/>
      <bottom style="thin">
        <color rgb="FFD9DEE3"/>
      </bottom>
    </border>
    <border>
      <top/>
      <bottom style="thin">
        <color rgb="FFD9DEE3"/>
      </bottom>
    </border>
    <border>
      <right/>
      <top/>
      <bottom style="thin">
        <color rgb="FFD9DEE3"/>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vertical="center"/>
    </xf>
    <xf borderId="2" fillId="0" fontId="3" numFmtId="0" xfId="0" applyBorder="1" applyFont="1"/>
    <xf borderId="3" fillId="0" fontId="3" numFmtId="0" xfId="0" applyBorder="1" applyFont="1"/>
    <xf borderId="1" fillId="2" fontId="4" numFmtId="0" xfId="0" applyAlignment="1" applyBorder="1" applyFont="1">
      <alignment horizontal="left" vertical="center"/>
    </xf>
    <xf borderId="4" fillId="3" fontId="5" numFmtId="0" xfId="0" applyAlignment="1" applyBorder="1" applyFill="1" applyFont="1">
      <alignment horizontal="left" shrinkToFit="0" vertical="center" wrapText="1"/>
    </xf>
    <xf borderId="5" fillId="0" fontId="3" numFmtId="0" xfId="0" applyBorder="1" applyFont="1"/>
    <xf borderId="6" fillId="0" fontId="3" numFmtId="0" xfId="0" applyBorder="1" applyFont="1"/>
    <xf borderId="0" fillId="0" fontId="6" numFmtId="0" xfId="0" applyAlignment="1" applyFont="1">
      <alignment vertical="center"/>
    </xf>
    <xf borderId="4" fillId="3" fontId="7" numFmtId="0" xfId="0" applyAlignment="1" applyBorder="1" applyFont="1">
      <alignment horizontal="left" shrinkToFit="0" vertical="center" wrapText="1"/>
    </xf>
    <xf borderId="7" fillId="4" fontId="8" numFmtId="0" xfId="0" applyAlignment="1" applyBorder="1" applyFill="1" applyFont="1">
      <alignment horizontal="left" vertical="center"/>
    </xf>
    <xf borderId="7" fillId="4" fontId="9" numFmtId="0" xfId="0" applyAlignment="1" applyBorder="1" applyFont="1">
      <alignment horizontal="left" vertical="center"/>
    </xf>
    <xf borderId="8" fillId="0" fontId="3" numFmtId="0" xfId="0" applyBorder="1" applyFont="1"/>
    <xf borderId="9" fillId="0" fontId="3" numFmtId="0" xfId="0" applyBorder="1" applyFont="1"/>
    <xf borderId="10" fillId="5" fontId="10" numFmtId="0" xfId="0" applyAlignment="1" applyBorder="1" applyFill="1" applyFont="1">
      <alignment horizontal="left" shrinkToFit="0" vertical="center" wrapText="1"/>
    </xf>
    <xf borderId="11" fillId="2" fontId="11" numFmtId="0" xfId="0" applyAlignment="1" applyBorder="1" applyFont="1">
      <alignment horizontal="center" shrinkToFit="0" vertical="center" wrapText="1"/>
    </xf>
    <xf borderId="10" fillId="3" fontId="12" numFmtId="0" xfId="0" applyAlignment="1" applyBorder="1" applyFont="1">
      <alignment horizontal="left" shrinkToFit="0" vertical="center" wrapText="1"/>
    </xf>
    <xf borderId="10" fillId="6" fontId="12" numFmtId="0" xfId="0" applyAlignment="1" applyBorder="1" applyFill="1" applyFont="1">
      <alignment horizontal="left" shrinkToFit="0" vertical="center" wrapText="1"/>
    </xf>
    <xf borderId="10" fillId="7" fontId="12" numFmtId="0" xfId="0" applyAlignment="1" applyBorder="1" applyFill="1" applyFont="1">
      <alignment horizontal="left" shrinkToFit="0" vertical="center" wrapText="1"/>
    </xf>
    <xf borderId="4" fillId="6" fontId="12" numFmtId="0" xfId="0" applyAlignment="1" applyBorder="1" applyFont="1">
      <alignment horizontal="left" shrinkToFit="0" vertical="center" wrapText="1"/>
    </xf>
    <xf borderId="12" fillId="6" fontId="13" numFmtId="0" xfId="0" applyAlignment="1" applyBorder="1" applyFont="1">
      <alignment horizontal="left" shrinkToFit="0" vertical="center" wrapText="1"/>
    </xf>
    <xf borderId="12" fillId="3" fontId="14" numFmtId="0" xfId="0" applyAlignment="1" applyBorder="1" applyFont="1">
      <alignment horizontal="left" shrinkToFit="0" vertical="center" wrapText="1"/>
    </xf>
    <xf borderId="12" fillId="3" fontId="14" numFmtId="0" xfId="0" applyAlignment="1" applyBorder="1" applyFont="1">
      <alignment shrinkToFit="0" vertical="center" wrapText="1"/>
    </xf>
    <xf borderId="12" fillId="3" fontId="14" numFmtId="164" xfId="0" applyAlignment="1" applyBorder="1" applyFont="1" applyNumberFormat="1">
      <alignment horizontal="left" shrinkToFit="0" vertical="center" wrapText="1"/>
    </xf>
    <xf borderId="12" fillId="6" fontId="14" numFmtId="0" xfId="0" applyAlignment="1" applyBorder="1" applyFont="1">
      <alignment horizontal="left" shrinkToFit="0" vertical="center" wrapText="1"/>
    </xf>
    <xf borderId="12" fillId="3" fontId="14" numFmtId="165" xfId="0" applyAlignment="1" applyBorder="1" applyFont="1" applyNumberFormat="1">
      <alignment horizontal="left" shrinkToFit="0" vertical="center" wrapText="1"/>
    </xf>
    <xf borderId="12" fillId="3" fontId="14" numFmtId="166" xfId="0" applyAlignment="1" applyBorder="1" applyFont="1" applyNumberFormat="1">
      <alignment horizontal="left" shrinkToFit="0" vertical="center" wrapText="1"/>
    </xf>
    <xf borderId="0" fillId="0" fontId="15" numFmtId="0" xfId="0" applyFont="1"/>
    <xf borderId="12" fillId="3" fontId="14" numFmtId="0" xfId="0" applyAlignment="1" applyBorder="1" applyFont="1">
      <alignment readingOrder="0" shrinkToFit="0" vertical="center" wrapText="1"/>
    </xf>
    <xf borderId="0" fillId="0" fontId="6" numFmtId="0" xfId="0" applyFont="1"/>
    <xf borderId="12" fillId="3" fontId="14" numFmtId="166" xfId="0" applyAlignment="1" applyBorder="1" applyFont="1" applyNumberFormat="1">
      <alignment horizontal="left" readingOrder="0" shrinkToFit="0" vertical="center" wrapText="1"/>
    </xf>
    <xf borderId="10" fillId="5" fontId="16" numFmtId="0" xfId="0" applyAlignment="1" applyBorder="1" applyFont="1">
      <alignment horizontal="left" shrinkToFit="0" vertical="center" wrapText="1"/>
    </xf>
    <xf borderId="10" fillId="3" fontId="14" numFmtId="0" xfId="0" applyAlignment="1" applyBorder="1" applyFont="1">
      <alignment horizontal="left" shrinkToFit="0" vertical="center" wrapText="1"/>
    </xf>
    <xf borderId="10" fillId="3" fontId="14" numFmtId="0" xfId="0" applyAlignment="1" applyBorder="1" applyFont="1">
      <alignment horizontal="left" readingOrder="0" shrinkToFit="0" vertical="center" wrapText="1"/>
    </xf>
    <xf borderId="10" fillId="3" fontId="14" numFmtId="164" xfId="0" applyAlignment="1" applyBorder="1" applyFont="1" applyNumberFormat="1">
      <alignment horizontal="left" shrinkToFit="0" vertical="center" wrapText="1"/>
    </xf>
    <xf borderId="13" fillId="3" fontId="14" numFmtId="0" xfId="0" applyAlignment="1" applyBorder="1" applyFont="1">
      <alignment horizontal="left" readingOrder="0" shrinkToFit="0" vertical="center" wrapText="1"/>
    </xf>
    <xf borderId="14" fillId="0" fontId="3" numFmtId="0" xfId="0" applyBorder="1" applyFont="1"/>
    <xf borderId="15" fillId="0" fontId="3" numFmtId="0" xfId="0" applyBorder="1" applyFont="1"/>
    <xf borderId="10" fillId="3" fontId="17" numFmtId="165" xfId="0" applyAlignment="1" applyBorder="1" applyFont="1" applyNumberFormat="1">
      <alignment horizontal="left" shrinkToFit="0" vertical="center" wrapText="1"/>
    </xf>
    <xf borderId="10" fillId="6" fontId="17" numFmtId="165" xfId="0" applyAlignment="1" applyBorder="1" applyFont="1" applyNumberFormat="1">
      <alignment horizontal="left" shrinkToFit="0" vertical="center" wrapText="1"/>
    </xf>
    <xf borderId="13" fillId="3" fontId="17" numFmtId="0" xfId="0" applyAlignment="1" applyBorder="1" applyFont="1">
      <alignment horizontal="left" shrinkToFit="0" vertical="center" wrapText="1"/>
    </xf>
    <xf borderId="12" fillId="6" fontId="13" numFmtId="0" xfId="0" applyAlignment="1" applyBorder="1" applyFont="1">
      <alignment horizontal="left" shrinkToFit="0" vertical="top" wrapText="1"/>
    </xf>
    <xf borderId="12" fillId="3" fontId="13" numFmtId="0" xfId="0" applyAlignment="1" applyBorder="1" applyFont="1">
      <alignment horizontal="left" shrinkToFit="0" vertical="top" wrapText="1"/>
    </xf>
    <xf borderId="12" fillId="3" fontId="13" numFmtId="164" xfId="0" applyAlignment="1" applyBorder="1" applyFont="1" applyNumberFormat="1">
      <alignment horizontal="left" shrinkToFit="0" vertical="top" wrapText="1"/>
    </xf>
    <xf borderId="12" fillId="3" fontId="13" numFmtId="165" xfId="0" applyAlignment="1" applyBorder="1" applyFont="1" applyNumberFormat="1">
      <alignment horizontal="left" shrinkToFit="0" vertical="top" wrapText="1"/>
    </xf>
    <xf borderId="12" fillId="3" fontId="13" numFmtId="166" xfId="0" applyAlignment="1" applyBorder="1" applyFont="1" applyNumberFormat="1">
      <alignment horizontal="left" shrinkToFit="0" vertical="top" wrapText="1"/>
    </xf>
    <xf borderId="10" fillId="3" fontId="17" numFmtId="0" xfId="0" applyAlignment="1" applyBorder="1" applyFont="1">
      <alignment horizontal="left" shrinkToFit="0" vertical="center" wrapText="1"/>
    </xf>
    <xf borderId="10" fillId="6" fontId="17" numFmtId="166" xfId="0" applyAlignment="1" applyBorder="1" applyFont="1" applyNumberFormat="1">
      <alignment horizontal="left" shrinkToFit="0" vertical="center" wrapText="1"/>
    </xf>
    <xf borderId="12" fillId="6" fontId="18" numFmtId="0" xfId="0" applyAlignment="1" applyBorder="1" applyFont="1">
      <alignment horizontal="left" shrinkToFit="0" vertical="top" wrapText="1"/>
    </xf>
    <xf borderId="12" fillId="3" fontId="18" numFmtId="0" xfId="0" applyAlignment="1" applyBorder="1" applyFont="1">
      <alignment horizontal="left" shrinkToFit="0" vertical="top" wrapText="1"/>
    </xf>
    <xf borderId="10" fillId="3" fontId="17" numFmtId="0" xfId="0" applyAlignment="1" applyBorder="1" applyFont="1">
      <alignment horizontal="left" readingOrder="0" shrinkToFit="0" vertical="center" wrapText="1"/>
    </xf>
    <xf borderId="12" fillId="3" fontId="18" numFmtId="164" xfId="0" applyAlignment="1" applyBorder="1" applyFont="1" applyNumberFormat="1">
      <alignment horizontal="left" shrinkToFit="0" vertical="top" wrapText="1"/>
    </xf>
    <xf borderId="10" fillId="6" fontId="17" numFmtId="3" xfId="0" applyAlignment="1" applyBorder="1" applyFont="1" applyNumberFormat="1">
      <alignment horizontal="left" shrinkToFit="0" vertical="center" wrapText="1"/>
    </xf>
    <xf borderId="12" fillId="3" fontId="18" numFmtId="165" xfId="0" applyAlignment="1" applyBorder="1" applyFont="1" applyNumberFormat="1">
      <alignment horizontal="left" shrinkToFit="0" vertical="top" wrapText="1"/>
    </xf>
    <xf borderId="12" fillId="3" fontId="18" numFmtId="166" xfId="0" applyAlignment="1" applyBorder="1" applyFont="1" applyNumberFormat="1">
      <alignment horizontal="left" shrinkToFit="0" vertical="top" wrapText="1"/>
    </xf>
    <xf borderId="13" fillId="3" fontId="17" numFmtId="0" xfId="0" applyAlignment="1" applyBorder="1" applyFont="1">
      <alignment horizontal="left" readingOrder="0" shrinkToFit="0" vertical="center" wrapText="1"/>
    </xf>
    <xf borderId="10" fillId="3" fontId="17" numFmtId="3" xfId="0" applyAlignment="1" applyBorder="1" applyFont="1" applyNumberFormat="1">
      <alignment horizontal="left" shrinkToFit="0" vertical="center" wrapText="1"/>
    </xf>
    <xf borderId="10" fillId="3" fontId="17" numFmtId="167" xfId="0" applyAlignment="1" applyBorder="1" applyFont="1" applyNumberFormat="1">
      <alignment horizontal="left" shrinkToFit="0" vertical="center" wrapText="1"/>
    </xf>
    <xf borderId="10" fillId="3" fontId="17" numFmtId="164" xfId="0" applyAlignment="1" applyBorder="1" applyFont="1" applyNumberFormat="1">
      <alignment horizontal="left" shrinkToFit="0" vertical="center" wrapText="1"/>
    </xf>
    <xf borderId="10" fillId="6" fontId="6" numFmtId="0" xfId="0" applyBorder="1" applyFont="1"/>
  </cellXfs>
  <cellStyles count="1">
    <cellStyle xfId="0" name="Normal" builtinId="0"/>
  </cellStyles>
  <dxfs count="3">
    <dxf>
      <font>
        <b/>
        <color rgb="FFB42318"/>
        <name val="Arial"/>
      </font>
      <fill>
        <patternFill patternType="solid">
          <fgColor rgb="FFFCE8E6"/>
          <bgColor rgb="FFFCE8E6"/>
        </patternFill>
      </fill>
      <border/>
    </dxf>
    <dxf>
      <font>
        <b/>
        <color rgb="FF0A6B3E"/>
        <name val="Arial"/>
      </font>
      <fill>
        <patternFill patternType="solid">
          <fgColor rgb="FFDFF3E8"/>
          <bgColor rgb="FFDFF3E8"/>
        </patternFill>
      </fill>
      <border/>
    </dxf>
    <dxf>
      <font>
        <b/>
        <color rgb="FF9C2E19"/>
        <name val="Arial"/>
      </font>
      <fill>
        <patternFill patternType="solid">
          <fgColor rgb="FFFFF3E0"/>
          <bgColor rgb="FFFFF3E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22.0"/>
    <col customWidth="1" min="3" max="3" width="25.0"/>
    <col customWidth="1" min="4" max="4" width="18.0"/>
    <col customWidth="1" min="5" max="5" width="28.0"/>
    <col customWidth="1" min="6" max="6" width="26.0"/>
    <col customWidth="1" min="7" max="7" width="20.0"/>
    <col customWidth="1" min="8" max="8" width="51.14"/>
    <col customWidth="1" min="9" max="26" width="8.71"/>
  </cols>
  <sheetData>
    <row r="1" ht="31.5" customHeight="1">
      <c r="A1" s="2" t="s">
        <v>1</v>
      </c>
      <c r="B1" s="3"/>
      <c r="C1" s="3"/>
      <c r="D1" s="3"/>
      <c r="E1" s="3"/>
      <c r="F1" s="3"/>
      <c r="G1" s="3"/>
      <c r="H1" s="4"/>
      <c r="I1" s="30"/>
      <c r="J1" s="30"/>
      <c r="K1" s="30"/>
      <c r="L1" s="30"/>
      <c r="M1" s="30"/>
      <c r="N1" s="30"/>
      <c r="O1" s="30"/>
      <c r="P1" s="30"/>
      <c r="Q1" s="30"/>
      <c r="R1" s="30"/>
      <c r="S1" s="30"/>
      <c r="T1" s="30"/>
      <c r="U1" s="30"/>
      <c r="V1" s="30"/>
      <c r="W1" s="30"/>
      <c r="X1" s="30"/>
      <c r="Y1" s="30"/>
      <c r="Z1" s="30"/>
    </row>
    <row r="2" ht="21.75" customHeight="1">
      <c r="A2" s="6" t="s">
        <v>64</v>
      </c>
      <c r="B2" s="7"/>
      <c r="C2" s="7"/>
      <c r="D2" s="7"/>
      <c r="E2" s="7"/>
      <c r="F2" s="7"/>
      <c r="G2" s="7"/>
      <c r="H2" s="8"/>
      <c r="I2" s="30"/>
      <c r="J2" s="30"/>
      <c r="K2" s="30"/>
      <c r="L2" s="30"/>
      <c r="M2" s="30"/>
      <c r="N2" s="30"/>
      <c r="O2" s="30"/>
      <c r="P2" s="30"/>
      <c r="Q2" s="30"/>
      <c r="R2" s="30"/>
      <c r="S2" s="30"/>
      <c r="T2" s="30"/>
      <c r="U2" s="30"/>
      <c r="V2" s="30"/>
      <c r="W2" s="30"/>
      <c r="X2" s="30"/>
      <c r="Y2" s="30"/>
      <c r="Z2" s="30"/>
    </row>
    <row r="3">
      <c r="A3" s="30"/>
      <c r="B3" s="30"/>
      <c r="C3" s="30"/>
      <c r="D3" s="30"/>
      <c r="E3" s="30"/>
      <c r="F3" s="30"/>
      <c r="G3" s="30"/>
      <c r="H3" s="30"/>
      <c r="I3" s="30"/>
      <c r="J3" s="30"/>
      <c r="K3" s="30"/>
      <c r="L3" s="30"/>
      <c r="M3" s="30"/>
      <c r="N3" s="30"/>
      <c r="O3" s="30"/>
      <c r="P3" s="30"/>
      <c r="Q3" s="30"/>
      <c r="R3" s="30"/>
      <c r="S3" s="30"/>
      <c r="T3" s="30"/>
      <c r="U3" s="30"/>
      <c r="V3" s="30"/>
      <c r="W3" s="30"/>
      <c r="X3" s="30"/>
      <c r="Y3" s="30"/>
      <c r="Z3" s="30"/>
    </row>
    <row r="4" ht="24.0" customHeight="1">
      <c r="A4" s="11" t="s">
        <v>71</v>
      </c>
      <c r="B4" s="13"/>
      <c r="C4" s="13"/>
      <c r="D4" s="13"/>
      <c r="E4" s="13"/>
      <c r="F4" s="13"/>
      <c r="G4" s="13"/>
      <c r="H4" s="14"/>
      <c r="I4" s="30"/>
      <c r="J4" s="30"/>
      <c r="K4" s="30"/>
      <c r="L4" s="30"/>
      <c r="M4" s="30"/>
      <c r="N4" s="30"/>
      <c r="O4" s="30"/>
      <c r="P4" s="30"/>
      <c r="Q4" s="30"/>
      <c r="R4" s="30"/>
      <c r="S4" s="30"/>
      <c r="T4" s="30"/>
      <c r="U4" s="30"/>
      <c r="V4" s="30"/>
      <c r="W4" s="30"/>
      <c r="X4" s="30"/>
      <c r="Y4" s="30"/>
      <c r="Z4" s="30"/>
    </row>
    <row r="5" ht="41.25" customHeight="1">
      <c r="A5" s="32" t="s">
        <v>75</v>
      </c>
      <c r="B5" s="33" t="s">
        <v>76</v>
      </c>
      <c r="C5" s="32" t="s">
        <v>77</v>
      </c>
      <c r="D5" s="34" t="s">
        <v>79</v>
      </c>
      <c r="E5" s="32" t="s">
        <v>80</v>
      </c>
      <c r="F5" s="34" t="s">
        <v>81</v>
      </c>
      <c r="G5" s="32" t="s">
        <v>82</v>
      </c>
      <c r="H5" s="34" t="s">
        <v>84</v>
      </c>
      <c r="I5" s="30"/>
      <c r="J5" s="30"/>
      <c r="K5" s="30"/>
      <c r="L5" s="30"/>
      <c r="M5" s="30"/>
      <c r="N5" s="30"/>
      <c r="O5" s="30"/>
      <c r="P5" s="30"/>
      <c r="Q5" s="30"/>
      <c r="R5" s="30"/>
      <c r="S5" s="30"/>
      <c r="T5" s="30"/>
      <c r="U5" s="30"/>
      <c r="V5" s="30"/>
      <c r="W5" s="30"/>
      <c r="X5" s="30"/>
      <c r="Y5" s="30"/>
      <c r="Z5" s="30"/>
    </row>
    <row r="6" ht="25.5" customHeight="1">
      <c r="A6" s="32" t="s">
        <v>86</v>
      </c>
      <c r="B6" s="33" t="s">
        <v>9</v>
      </c>
      <c r="C6" s="32" t="s">
        <v>89</v>
      </c>
      <c r="D6" s="34" t="s">
        <v>90</v>
      </c>
      <c r="E6" s="32" t="s">
        <v>92</v>
      </c>
      <c r="F6" s="35">
        <v>46230.0</v>
      </c>
      <c r="G6" s="32" t="s">
        <v>93</v>
      </c>
      <c r="H6" s="34" t="s">
        <v>94</v>
      </c>
      <c r="I6" s="30"/>
      <c r="J6" s="30"/>
      <c r="K6" s="30"/>
      <c r="L6" s="30"/>
      <c r="M6" s="30"/>
      <c r="N6" s="30"/>
      <c r="O6" s="30"/>
      <c r="P6" s="30"/>
      <c r="Q6" s="30"/>
      <c r="R6" s="30"/>
      <c r="S6" s="30"/>
      <c r="T6" s="30"/>
      <c r="U6" s="30"/>
      <c r="V6" s="30"/>
      <c r="W6" s="30"/>
      <c r="X6" s="30"/>
      <c r="Y6" s="30"/>
      <c r="Z6" s="30"/>
    </row>
    <row r="7">
      <c r="A7" s="30"/>
      <c r="B7" s="30"/>
      <c r="C7" s="30"/>
      <c r="D7" s="30"/>
      <c r="E7" s="30"/>
      <c r="F7" s="30"/>
      <c r="G7" s="30"/>
      <c r="H7" s="30"/>
      <c r="I7" s="30"/>
      <c r="J7" s="30"/>
      <c r="K7" s="30"/>
      <c r="L7" s="30"/>
      <c r="M7" s="30"/>
      <c r="N7" s="30"/>
      <c r="O7" s="30"/>
      <c r="P7" s="30"/>
      <c r="Q7" s="30"/>
      <c r="R7" s="30"/>
      <c r="S7" s="30"/>
      <c r="T7" s="30"/>
      <c r="U7" s="30"/>
      <c r="V7" s="30"/>
      <c r="W7" s="30"/>
      <c r="X7" s="30"/>
      <c r="Y7" s="30"/>
      <c r="Z7" s="30"/>
    </row>
    <row r="8" ht="24.0" customHeight="1">
      <c r="A8" s="11" t="s">
        <v>98</v>
      </c>
      <c r="B8" s="13"/>
      <c r="C8" s="13"/>
      <c r="D8" s="13"/>
      <c r="E8" s="13"/>
      <c r="F8" s="13"/>
      <c r="G8" s="13"/>
      <c r="H8" s="14"/>
      <c r="I8" s="30"/>
      <c r="J8" s="30"/>
      <c r="K8" s="30"/>
      <c r="L8" s="30"/>
      <c r="M8" s="30"/>
      <c r="N8" s="30"/>
      <c r="O8" s="30"/>
      <c r="P8" s="30"/>
      <c r="Q8" s="30"/>
      <c r="R8" s="30"/>
      <c r="S8" s="30"/>
      <c r="T8" s="30"/>
      <c r="U8" s="30"/>
      <c r="V8" s="30"/>
      <c r="W8" s="30"/>
      <c r="X8" s="30"/>
      <c r="Y8" s="30"/>
      <c r="Z8" s="30"/>
    </row>
    <row r="9">
      <c r="A9" s="32" t="s">
        <v>101</v>
      </c>
      <c r="B9" s="36" t="s">
        <v>103</v>
      </c>
      <c r="C9" s="37"/>
      <c r="D9" s="37"/>
      <c r="E9" s="37"/>
      <c r="F9" s="37"/>
      <c r="G9" s="37"/>
      <c r="H9" s="38"/>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ht="37.5" customHeight="1">
      <c r="A11" s="16" t="s">
        <v>108</v>
      </c>
      <c r="B11" s="16" t="s">
        <v>109</v>
      </c>
      <c r="C11" s="16" t="s">
        <v>111</v>
      </c>
      <c r="D11" s="16" t="s">
        <v>112</v>
      </c>
      <c r="E11" s="16" t="s">
        <v>113</v>
      </c>
      <c r="F11" s="16" t="s">
        <v>114</v>
      </c>
      <c r="G11" s="16" t="s">
        <v>114</v>
      </c>
      <c r="H11" s="16" t="s">
        <v>114</v>
      </c>
      <c r="I11" s="30"/>
      <c r="J11" s="30"/>
      <c r="K11" s="30"/>
      <c r="L11" s="30"/>
      <c r="M11" s="30"/>
      <c r="N11" s="30"/>
      <c r="O11" s="30"/>
      <c r="P11" s="30"/>
      <c r="Q11" s="30"/>
      <c r="R11" s="30"/>
      <c r="S11" s="30"/>
      <c r="T11" s="30"/>
      <c r="U11" s="30"/>
      <c r="V11" s="30"/>
      <c r="W11" s="30"/>
      <c r="X11" s="30"/>
      <c r="Y11" s="30"/>
      <c r="Z11" s="30"/>
    </row>
    <row r="12" ht="30.0" customHeight="1">
      <c r="A12" s="32" t="s">
        <v>118</v>
      </c>
      <c r="B12" s="39">
        <v>1.0</v>
      </c>
      <c r="C12" s="40">
        <f>IFERROR(AVERAGE('02_Ажлын_жагсаалт'!I6:I100),0)</f>
        <v>1</v>
      </c>
      <c r="D12" s="40">
        <f t="shared" ref="D12:D15" si="1">C12</f>
        <v>1</v>
      </c>
      <c r="E12" s="41" t="s">
        <v>122</v>
      </c>
      <c r="F12" s="37"/>
      <c r="G12" s="37"/>
      <c r="H12" s="38"/>
      <c r="I12" s="30"/>
      <c r="J12" s="30"/>
      <c r="K12" s="30"/>
      <c r="L12" s="30"/>
      <c r="M12" s="30"/>
      <c r="N12" s="30"/>
      <c r="O12" s="30"/>
      <c r="P12" s="30"/>
      <c r="Q12" s="30"/>
      <c r="R12" s="30"/>
      <c r="S12" s="30"/>
      <c r="T12" s="30"/>
      <c r="U12" s="30"/>
      <c r="V12" s="30"/>
      <c r="W12" s="30"/>
      <c r="X12" s="30"/>
      <c r="Y12" s="30"/>
      <c r="Z12" s="30"/>
    </row>
    <row r="13" ht="30.0" customHeight="1">
      <c r="A13" s="32" t="s">
        <v>123</v>
      </c>
      <c r="B13" s="39">
        <v>1.0</v>
      </c>
      <c r="C13" s="40">
        <f>IFERROR(COUNTIF('02_Ажлын_жагсаалт'!H6:H100,"Тийм")/COUNTIF('02_Ажлын_жагсаалт'!B6:B100,"&lt;&gt;"),0)</f>
        <v>1</v>
      </c>
      <c r="D13" s="40">
        <f t="shared" si="1"/>
        <v>1</v>
      </c>
      <c r="E13" s="41" t="s">
        <v>122</v>
      </c>
      <c r="F13" s="37"/>
      <c r="G13" s="37"/>
      <c r="H13" s="38"/>
      <c r="I13" s="30"/>
      <c r="J13" s="30"/>
      <c r="K13" s="30"/>
      <c r="L13" s="30"/>
      <c r="M13" s="30"/>
      <c r="N13" s="30"/>
      <c r="O13" s="30"/>
      <c r="P13" s="30"/>
      <c r="Q13" s="30"/>
      <c r="R13" s="30"/>
      <c r="S13" s="30"/>
      <c r="T13" s="30"/>
      <c r="U13" s="30"/>
      <c r="V13" s="30"/>
      <c r="W13" s="30"/>
      <c r="X13" s="30"/>
      <c r="Y13" s="30"/>
      <c r="Z13" s="30"/>
    </row>
    <row r="14" ht="30.0" customHeight="1">
      <c r="A14" s="32" t="s">
        <v>124</v>
      </c>
      <c r="B14" s="47">
        <v>10.0</v>
      </c>
      <c r="C14" s="48">
        <f>IFERROR(AVERAGE('02_Ажлын_жагсаалт'!J6:J100),0)</f>
        <v>10</v>
      </c>
      <c r="D14" s="48">
        <f t="shared" si="1"/>
        <v>10</v>
      </c>
      <c r="E14" s="41" t="s">
        <v>122</v>
      </c>
      <c r="F14" s="37"/>
      <c r="G14" s="37"/>
      <c r="H14" s="38"/>
      <c r="I14" s="30"/>
      <c r="J14" s="30"/>
      <c r="K14" s="30"/>
      <c r="L14" s="30"/>
      <c r="M14" s="30"/>
      <c r="N14" s="30"/>
      <c r="O14" s="30"/>
      <c r="P14" s="30"/>
      <c r="Q14" s="30"/>
      <c r="R14" s="30"/>
      <c r="S14" s="30"/>
      <c r="T14" s="30"/>
      <c r="U14" s="30"/>
      <c r="V14" s="30"/>
      <c r="W14" s="30"/>
      <c r="X14" s="30"/>
      <c r="Y14" s="30"/>
      <c r="Z14" s="30"/>
    </row>
    <row r="15" ht="30.0" customHeight="1">
      <c r="A15" s="32" t="s">
        <v>125</v>
      </c>
      <c r="B15" s="51">
        <v>16.0</v>
      </c>
      <c r="C15" s="53">
        <f>COUNTA('02_Ажлын_жагсаалт'!B6:B100)</f>
        <v>16</v>
      </c>
      <c r="D15" s="53">
        <f t="shared" si="1"/>
        <v>16</v>
      </c>
      <c r="E15" s="41" t="s">
        <v>122</v>
      </c>
      <c r="F15" s="37"/>
      <c r="G15" s="37"/>
      <c r="H15" s="38"/>
      <c r="I15" s="30"/>
      <c r="J15" s="30"/>
      <c r="K15" s="30"/>
      <c r="L15" s="30"/>
      <c r="M15" s="30"/>
      <c r="N15" s="30"/>
      <c r="O15" s="30"/>
      <c r="P15" s="30"/>
      <c r="Q15" s="30"/>
      <c r="R15" s="30"/>
      <c r="S15" s="30"/>
      <c r="T15" s="30"/>
      <c r="U15" s="30"/>
      <c r="V15" s="30"/>
      <c r="W15" s="30"/>
      <c r="X15" s="30"/>
      <c r="Y15" s="30"/>
      <c r="Z15" s="30"/>
    </row>
    <row r="16" ht="30.0" customHeight="1">
      <c r="A16" s="32" t="s">
        <v>126</v>
      </c>
      <c r="B16" s="51">
        <v>16.0</v>
      </c>
      <c r="C16" s="53">
        <f>COUNTIF('02_Ажлын_жагсаалт'!D6:D100,"Дууссан")</f>
        <v>16</v>
      </c>
      <c r="D16" s="40">
        <f>IFERROR(C16/C15,0)</f>
        <v>1</v>
      </c>
      <c r="E16" s="41" t="s">
        <v>122</v>
      </c>
      <c r="F16" s="37"/>
      <c r="G16" s="37"/>
      <c r="H16" s="38"/>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ht="24.0" customHeight="1">
      <c r="A18" s="11" t="s">
        <v>127</v>
      </c>
      <c r="B18" s="13"/>
      <c r="C18" s="13"/>
      <c r="D18" s="13"/>
      <c r="E18" s="13"/>
      <c r="F18" s="13"/>
      <c r="G18" s="13"/>
      <c r="H18" s="14"/>
      <c r="I18" s="30"/>
      <c r="J18" s="30"/>
      <c r="K18" s="30"/>
      <c r="L18" s="30"/>
      <c r="M18" s="30"/>
      <c r="N18" s="30"/>
      <c r="O18" s="30"/>
      <c r="P18" s="30"/>
      <c r="Q18" s="30"/>
      <c r="R18" s="30"/>
      <c r="S18" s="30"/>
      <c r="T18" s="30"/>
      <c r="U18" s="30"/>
      <c r="V18" s="30"/>
      <c r="W18" s="30"/>
      <c r="X18" s="30"/>
      <c r="Y18" s="30"/>
      <c r="Z18" s="30"/>
    </row>
    <row r="19">
      <c r="A19" s="32" t="s">
        <v>128</v>
      </c>
      <c r="B19" s="56" t="s">
        <v>129</v>
      </c>
      <c r="C19" s="37"/>
      <c r="D19" s="37"/>
      <c r="E19" s="37"/>
      <c r="F19" s="37"/>
      <c r="G19" s="37"/>
      <c r="H19" s="38"/>
      <c r="I19" s="30"/>
      <c r="J19" s="30"/>
      <c r="K19" s="30"/>
      <c r="L19" s="30"/>
      <c r="M19" s="30"/>
      <c r="N19" s="30"/>
      <c r="O19" s="30"/>
      <c r="P19" s="30"/>
      <c r="Q19" s="30"/>
      <c r="R19" s="30"/>
      <c r="S19" s="30"/>
      <c r="T19" s="30"/>
      <c r="U19" s="30"/>
      <c r="V19" s="30"/>
      <c r="W19" s="30"/>
      <c r="X19" s="30"/>
      <c r="Y19" s="30"/>
      <c r="Z19" s="30"/>
    </row>
    <row r="20">
      <c r="A20" s="32" t="s">
        <v>130</v>
      </c>
      <c r="B20" s="56" t="s">
        <v>131</v>
      </c>
      <c r="C20" s="37"/>
      <c r="D20" s="37"/>
      <c r="E20" s="37"/>
      <c r="F20" s="37"/>
      <c r="G20" s="37"/>
      <c r="H20" s="38"/>
      <c r="I20" s="30"/>
      <c r="J20" s="30"/>
      <c r="K20" s="30"/>
      <c r="L20" s="30"/>
      <c r="M20" s="30"/>
      <c r="N20" s="30"/>
      <c r="O20" s="30"/>
      <c r="P20" s="30"/>
      <c r="Q20" s="30"/>
      <c r="R20" s="30"/>
      <c r="S20" s="30"/>
      <c r="T20" s="30"/>
      <c r="U20" s="30"/>
      <c r="V20" s="30"/>
      <c r="W20" s="30"/>
      <c r="X20" s="30"/>
      <c r="Y20" s="30"/>
      <c r="Z20" s="30"/>
    </row>
    <row r="21">
      <c r="A21" s="32" t="s">
        <v>132</v>
      </c>
      <c r="B21" s="56" t="s">
        <v>133</v>
      </c>
      <c r="C21" s="37"/>
      <c r="D21" s="37"/>
      <c r="E21" s="37"/>
      <c r="F21" s="37"/>
      <c r="G21" s="37"/>
      <c r="H21" s="38"/>
      <c r="I21" s="30"/>
      <c r="J21" s="30"/>
      <c r="K21" s="30"/>
      <c r="L21" s="30"/>
      <c r="M21" s="30"/>
      <c r="N21" s="30"/>
      <c r="O21" s="30"/>
      <c r="P21" s="30"/>
      <c r="Q21" s="30"/>
      <c r="R21" s="30"/>
      <c r="S21" s="30"/>
      <c r="T21" s="30"/>
      <c r="U21" s="30"/>
      <c r="V21" s="30"/>
      <c r="W21" s="30"/>
      <c r="X21" s="30"/>
      <c r="Y21" s="30"/>
      <c r="Z21" s="30"/>
    </row>
    <row r="22" ht="57.75" customHeight="1">
      <c r="A22" s="32" t="s">
        <v>134</v>
      </c>
      <c r="B22" s="41" t="s">
        <v>114</v>
      </c>
      <c r="C22" s="37"/>
      <c r="D22" s="37"/>
      <c r="E22" s="37"/>
      <c r="F22" s="37"/>
      <c r="G22" s="37"/>
      <c r="H22" s="38"/>
      <c r="I22" s="30"/>
      <c r="J22" s="30"/>
      <c r="K22" s="30"/>
      <c r="L22" s="30"/>
      <c r="M22" s="30"/>
      <c r="N22" s="30"/>
      <c r="O22" s="30"/>
      <c r="P22" s="30"/>
      <c r="Q22" s="30"/>
      <c r="R22" s="30"/>
      <c r="S22" s="30"/>
      <c r="T22" s="30"/>
      <c r="U22" s="30"/>
      <c r="V22" s="30"/>
      <c r="W22" s="30"/>
      <c r="X22" s="30"/>
      <c r="Y22" s="30"/>
      <c r="Z22" s="30"/>
    </row>
    <row r="23">
      <c r="A23" s="32" t="s">
        <v>135</v>
      </c>
      <c r="B23" s="56" t="s">
        <v>136</v>
      </c>
      <c r="C23" s="37"/>
      <c r="D23" s="37"/>
      <c r="E23" s="37"/>
      <c r="F23" s="37"/>
      <c r="G23" s="37"/>
      <c r="H23" s="38"/>
      <c r="I23" s="30"/>
      <c r="J23" s="30"/>
      <c r="K23" s="30"/>
      <c r="L23" s="30"/>
      <c r="M23" s="30"/>
      <c r="N23" s="30"/>
      <c r="O23" s="30"/>
      <c r="P23" s="30"/>
      <c r="Q23" s="30"/>
      <c r="R23" s="30"/>
      <c r="S23" s="30"/>
      <c r="T23" s="30"/>
      <c r="U23" s="30"/>
      <c r="V23" s="30"/>
      <c r="W23" s="30"/>
      <c r="X23" s="30"/>
      <c r="Y23" s="30"/>
      <c r="Z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24.0" customHeight="1">
      <c r="A25" s="11" t="s">
        <v>137</v>
      </c>
      <c r="B25" s="13"/>
      <c r="C25" s="13"/>
      <c r="D25" s="13"/>
      <c r="E25" s="13"/>
      <c r="F25" s="13"/>
      <c r="G25" s="13"/>
      <c r="H25" s="14"/>
      <c r="I25" s="30"/>
      <c r="J25" s="30"/>
      <c r="K25" s="30"/>
      <c r="L25" s="30"/>
      <c r="M25" s="30"/>
      <c r="N25" s="30"/>
      <c r="O25" s="30"/>
      <c r="P25" s="30"/>
      <c r="Q25" s="30"/>
      <c r="R25" s="30"/>
      <c r="S25" s="30"/>
      <c r="T25" s="30"/>
      <c r="U25" s="30"/>
      <c r="V25" s="30"/>
      <c r="W25" s="30"/>
      <c r="X25" s="30"/>
      <c r="Y25" s="30"/>
      <c r="Z25" s="30"/>
    </row>
    <row r="26" ht="27.75" customHeight="1">
      <c r="A26" s="32" t="s">
        <v>138</v>
      </c>
      <c r="B26" s="57">
        <v>0.0</v>
      </c>
      <c r="C26" s="32" t="s">
        <v>139</v>
      </c>
      <c r="D26" s="58">
        <v>0.0</v>
      </c>
      <c r="E26" s="32" t="s">
        <v>140</v>
      </c>
      <c r="F26" s="58">
        <v>0.0</v>
      </c>
      <c r="G26" s="32" t="s">
        <v>92</v>
      </c>
      <c r="H26" s="59">
        <v>46230.0</v>
      </c>
      <c r="I26" s="30"/>
      <c r="J26" s="30"/>
      <c r="K26" s="30"/>
      <c r="L26" s="30"/>
      <c r="M26" s="30"/>
      <c r="N26" s="30"/>
      <c r="O26" s="30"/>
      <c r="P26" s="30"/>
      <c r="Q26" s="30"/>
      <c r="R26" s="30"/>
      <c r="S26" s="30"/>
      <c r="T26" s="30"/>
      <c r="U26" s="30"/>
      <c r="V26" s="30"/>
      <c r="W26" s="30"/>
      <c r="X26" s="30"/>
      <c r="Y26" s="30"/>
      <c r="Z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37.5" customHeight="1">
      <c r="A28" s="32" t="s">
        <v>141</v>
      </c>
      <c r="B28" s="47" t="s">
        <v>114</v>
      </c>
      <c r="C28" s="32" t="s">
        <v>142</v>
      </c>
      <c r="D28" s="47" t="s">
        <v>114</v>
      </c>
      <c r="E28" s="32" t="s">
        <v>143</v>
      </c>
      <c r="F28" s="59" t="s">
        <v>114</v>
      </c>
      <c r="G28" s="60"/>
      <c r="H28" s="60"/>
      <c r="I28" s="30"/>
      <c r="J28" s="30"/>
      <c r="K28" s="30"/>
      <c r="L28" s="30"/>
      <c r="M28" s="30"/>
      <c r="N28" s="30"/>
      <c r="O28" s="30"/>
      <c r="P28" s="30"/>
      <c r="Q28" s="30"/>
      <c r="R28" s="30"/>
      <c r="S28" s="30"/>
      <c r="T28" s="30"/>
      <c r="U28" s="30"/>
      <c r="V28" s="30"/>
      <c r="W28" s="30"/>
      <c r="X28" s="30"/>
      <c r="Y28" s="30"/>
      <c r="Z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7">
    <mergeCell ref="A1:H1"/>
    <mergeCell ref="A2:H2"/>
    <mergeCell ref="A4:H4"/>
    <mergeCell ref="A8:H8"/>
    <mergeCell ref="B9:H9"/>
    <mergeCell ref="E12:H12"/>
    <mergeCell ref="E13:H13"/>
    <mergeCell ref="B22:H22"/>
    <mergeCell ref="B23:H23"/>
    <mergeCell ref="A25:H25"/>
    <mergeCell ref="E14:H14"/>
    <mergeCell ref="E15:H15"/>
    <mergeCell ref="E16:H16"/>
    <mergeCell ref="A18:H18"/>
    <mergeCell ref="B19:H19"/>
    <mergeCell ref="B20:H20"/>
    <mergeCell ref="B21:H21"/>
  </mergeCells>
  <conditionalFormatting sqref="D12:D13">
    <cfRule type="cellIs" dxfId="1" priority="1" operator="greaterThanOrEqual">
      <formula>1</formula>
    </cfRule>
  </conditionalFormatting>
  <conditionalFormatting sqref="D12:D13">
    <cfRule type="cellIs" dxfId="2" priority="2" operator="between">
      <formula>0.8</formula>
      <formula>0.9999</formula>
    </cfRule>
  </conditionalFormatting>
  <conditionalFormatting sqref="D12:D13">
    <cfRule type="cellIs" dxfId="0" priority="3" operator="lessThan">
      <formula>0.8</formula>
    </cfRule>
  </conditionalFormatting>
  <dataValidations>
    <dataValidation type="list" allowBlank="1" sqref="B6">
      <formula1>'99_Сонголтууд'!$B$2:$B$9</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2</v>
      </c>
      <c r="C1" s="1" t="s">
        <v>3</v>
      </c>
      <c r="D1" s="1" t="s">
        <v>4</v>
      </c>
    </row>
    <row r="2">
      <c r="A2" s="1" t="s">
        <v>5</v>
      </c>
      <c r="B2" s="1" t="s">
        <v>6</v>
      </c>
      <c r="C2" s="1">
        <v>1.0</v>
      </c>
      <c r="D2" s="1" t="s">
        <v>7</v>
      </c>
    </row>
    <row r="3">
      <c r="A3" s="1" t="s">
        <v>8</v>
      </c>
      <c r="B3" s="1" t="s">
        <v>9</v>
      </c>
      <c r="C3" s="1">
        <v>2.0</v>
      </c>
      <c r="D3" s="1" t="s">
        <v>10</v>
      </c>
    </row>
    <row r="4">
      <c r="A4" s="1" t="s">
        <v>11</v>
      </c>
      <c r="B4" s="1" t="s">
        <v>13</v>
      </c>
      <c r="C4" s="1">
        <v>3.0</v>
      </c>
    </row>
    <row r="5">
      <c r="A5" s="1" t="s">
        <v>14</v>
      </c>
      <c r="B5" s="1" t="s">
        <v>15</v>
      </c>
      <c r="C5" s="1">
        <v>4.0</v>
      </c>
    </row>
    <row r="6">
      <c r="A6" s="1" t="s">
        <v>16</v>
      </c>
      <c r="B6" s="1" t="s">
        <v>17</v>
      </c>
      <c r="C6" s="1">
        <v>5.0</v>
      </c>
    </row>
    <row r="7">
      <c r="B7" s="1" t="s">
        <v>18</v>
      </c>
      <c r="C7" s="1">
        <v>6.0</v>
      </c>
    </row>
    <row r="8">
      <c r="B8" s="1" t="s">
        <v>19</v>
      </c>
      <c r="C8" s="1">
        <v>7.0</v>
      </c>
    </row>
    <row r="9">
      <c r="B9" s="1" t="s">
        <v>20</v>
      </c>
      <c r="C9" s="1">
        <v>8.0</v>
      </c>
    </row>
    <row r="10">
      <c r="C10" s="1">
        <v>9.0</v>
      </c>
    </row>
    <row r="11">
      <c r="C11" s="1">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6.0"/>
    <col customWidth="1" min="2" max="2" width="18.0"/>
    <col customWidth="1" min="3" max="3" width="36.43"/>
    <col customWidth="1" min="4" max="4" width="18.0"/>
    <col customWidth="1" min="5" max="5" width="16.0"/>
    <col customWidth="1" min="6" max="7" width="18.0"/>
    <col customWidth="1" min="8" max="8" width="16.0"/>
    <col customWidth="1" min="9" max="9" width="14.0"/>
    <col customWidth="1" min="10" max="10" width="18.0"/>
    <col customWidth="1" min="11" max="11" width="42.0"/>
    <col customWidth="1" min="12" max="26" width="8.71"/>
  </cols>
  <sheetData>
    <row r="1" ht="31.5" customHeight="1">
      <c r="A1" s="2" t="s">
        <v>12</v>
      </c>
      <c r="B1" s="3"/>
      <c r="C1" s="3"/>
      <c r="D1" s="3"/>
      <c r="E1" s="3"/>
      <c r="F1" s="3"/>
      <c r="G1" s="3"/>
      <c r="H1" s="3"/>
      <c r="I1" s="3"/>
      <c r="J1" s="3"/>
      <c r="K1" s="4"/>
    </row>
    <row r="2" ht="21.75" customHeight="1">
      <c r="A2" s="6" t="s">
        <v>22</v>
      </c>
      <c r="B2" s="7"/>
      <c r="C2" s="7"/>
      <c r="D2" s="7"/>
      <c r="E2" s="7"/>
      <c r="F2" s="7"/>
      <c r="G2" s="7"/>
      <c r="H2" s="7"/>
      <c r="I2" s="7"/>
      <c r="J2" s="7"/>
      <c r="K2" s="8"/>
    </row>
    <row r="3">
      <c r="A3" s="9"/>
      <c r="B3" s="9"/>
      <c r="C3" s="9"/>
      <c r="D3" s="9"/>
      <c r="E3" s="9"/>
      <c r="F3" s="9"/>
      <c r="G3" s="9"/>
      <c r="H3" s="9"/>
      <c r="I3" s="9"/>
      <c r="J3" s="9"/>
      <c r="K3" s="9"/>
    </row>
    <row r="4" ht="24.0" customHeight="1">
      <c r="A4" s="11" t="s">
        <v>24</v>
      </c>
      <c r="B4" s="13"/>
      <c r="C4" s="13"/>
      <c r="D4" s="13"/>
      <c r="E4" s="13"/>
      <c r="F4" s="13"/>
      <c r="G4" s="13"/>
      <c r="H4" s="13"/>
      <c r="I4" s="13"/>
      <c r="J4" s="13"/>
      <c r="K4" s="14"/>
    </row>
    <row r="5" ht="37.5" customHeight="1">
      <c r="A5" s="16" t="s">
        <v>27</v>
      </c>
      <c r="B5" s="16" t="s">
        <v>29</v>
      </c>
      <c r="C5" s="16" t="s">
        <v>31</v>
      </c>
      <c r="D5" s="16" t="s">
        <v>0</v>
      </c>
      <c r="E5" s="16" t="s">
        <v>33</v>
      </c>
      <c r="F5" s="16" t="s">
        <v>34</v>
      </c>
      <c r="G5" s="16" t="s">
        <v>36</v>
      </c>
      <c r="H5" s="16" t="s">
        <v>4</v>
      </c>
      <c r="I5" s="16" t="s">
        <v>38</v>
      </c>
      <c r="J5" s="16" t="s">
        <v>40</v>
      </c>
      <c r="K5" s="16" t="s">
        <v>41</v>
      </c>
    </row>
    <row r="6">
      <c r="A6" s="21">
        <f t="shared" ref="A6:A12" si="1">IF($B6&lt;&gt;"",ROW()-5,"")</f>
        <v>1</v>
      </c>
      <c r="B6" s="22" t="s">
        <v>49</v>
      </c>
      <c r="C6" s="23" t="s">
        <v>51</v>
      </c>
      <c r="D6" s="22" t="s">
        <v>5</v>
      </c>
      <c r="E6" s="24">
        <v>46111.0</v>
      </c>
      <c r="F6" s="24">
        <v>46137.0</v>
      </c>
      <c r="G6" s="24">
        <v>46137.0</v>
      </c>
      <c r="H6" s="25" t="str">
        <f t="shared" ref="H6:H100" si="2">IF(OR($D6="",$B6="",$F6="",$G6=""),"",IF($G6&lt;=$F6,"Тийм","Үгүй"))</f>
        <v>Тийм</v>
      </c>
      <c r="I6" s="26">
        <v>1.0</v>
      </c>
      <c r="J6" s="27">
        <v>10.0</v>
      </c>
      <c r="K6" s="23" t="s">
        <v>52</v>
      </c>
    </row>
    <row r="7">
      <c r="A7" s="21">
        <f t="shared" si="1"/>
        <v>2</v>
      </c>
      <c r="B7" s="23" t="s">
        <v>53</v>
      </c>
      <c r="C7" s="23" t="s">
        <v>54</v>
      </c>
      <c r="D7" s="22" t="s">
        <v>5</v>
      </c>
      <c r="E7" s="24">
        <v>46115.0</v>
      </c>
      <c r="F7" s="24">
        <v>46115.0</v>
      </c>
      <c r="G7" s="24">
        <v>46115.0</v>
      </c>
      <c r="H7" s="25" t="str">
        <f t="shared" si="2"/>
        <v>Тийм</v>
      </c>
      <c r="I7" s="26">
        <v>1.0</v>
      </c>
      <c r="J7" s="27">
        <v>10.0</v>
      </c>
      <c r="K7" s="23" t="s">
        <v>55</v>
      </c>
      <c r="Q7" s="28"/>
    </row>
    <row r="8">
      <c r="A8" s="21">
        <f t="shared" si="1"/>
        <v>3</v>
      </c>
      <c r="B8" s="29" t="s">
        <v>56</v>
      </c>
      <c r="C8" s="23" t="s">
        <v>57</v>
      </c>
      <c r="D8" s="22" t="s">
        <v>5</v>
      </c>
      <c r="E8" s="24">
        <v>46115.0</v>
      </c>
      <c r="F8" s="24">
        <v>46115.0</v>
      </c>
      <c r="G8" s="24">
        <v>46115.0</v>
      </c>
      <c r="H8" s="25" t="str">
        <f t="shared" si="2"/>
        <v>Тийм</v>
      </c>
      <c r="I8" s="26">
        <v>1.0</v>
      </c>
      <c r="J8" s="27">
        <v>10.0</v>
      </c>
      <c r="K8" s="23" t="s">
        <v>58</v>
      </c>
    </row>
    <row r="9">
      <c r="A9" s="21">
        <f t="shared" si="1"/>
        <v>4</v>
      </c>
      <c r="B9" s="23" t="s">
        <v>59</v>
      </c>
      <c r="C9" s="23" t="s">
        <v>60</v>
      </c>
      <c r="D9" s="22" t="s">
        <v>5</v>
      </c>
      <c r="E9" s="24">
        <v>46106.0</v>
      </c>
      <c r="F9" s="24">
        <v>46118.0</v>
      </c>
      <c r="G9" s="24">
        <v>46118.0</v>
      </c>
      <c r="H9" s="25" t="str">
        <f t="shared" si="2"/>
        <v>Тийм</v>
      </c>
      <c r="I9" s="26">
        <v>1.0</v>
      </c>
      <c r="J9" s="27">
        <v>10.0</v>
      </c>
      <c r="K9" s="23" t="s">
        <v>61</v>
      </c>
    </row>
    <row r="10">
      <c r="A10" s="21">
        <f t="shared" si="1"/>
        <v>5</v>
      </c>
      <c r="B10" s="23" t="s">
        <v>62</v>
      </c>
      <c r="C10" s="23" t="s">
        <v>63</v>
      </c>
      <c r="D10" s="22" t="s">
        <v>5</v>
      </c>
      <c r="E10" s="24">
        <v>46111.0</v>
      </c>
      <c r="F10" s="24">
        <v>46118.0</v>
      </c>
      <c r="G10" s="24">
        <v>46118.0</v>
      </c>
      <c r="H10" s="25" t="str">
        <f t="shared" si="2"/>
        <v>Тийм</v>
      </c>
      <c r="I10" s="26">
        <v>1.0</v>
      </c>
      <c r="J10" s="31">
        <v>10.0</v>
      </c>
      <c r="K10" s="23" t="s">
        <v>65</v>
      </c>
    </row>
    <row r="11">
      <c r="A11" s="21">
        <f t="shared" si="1"/>
        <v>6</v>
      </c>
      <c r="B11" s="23" t="s">
        <v>66</v>
      </c>
      <c r="C11" s="23" t="s">
        <v>67</v>
      </c>
      <c r="D11" s="22" t="s">
        <v>5</v>
      </c>
      <c r="E11" s="24">
        <v>46113.0</v>
      </c>
      <c r="F11" s="24">
        <v>46120.0</v>
      </c>
      <c r="G11" s="24">
        <v>46120.0</v>
      </c>
      <c r="H11" s="25" t="str">
        <f t="shared" si="2"/>
        <v>Тийм</v>
      </c>
      <c r="I11" s="26">
        <v>1.0</v>
      </c>
      <c r="J11" s="27">
        <v>10.0</v>
      </c>
      <c r="K11" s="23" t="s">
        <v>68</v>
      </c>
    </row>
    <row r="12">
      <c r="A12" s="21">
        <f t="shared" si="1"/>
        <v>7</v>
      </c>
      <c r="B12" s="23" t="s">
        <v>69</v>
      </c>
      <c r="C12" s="23" t="s">
        <v>70</v>
      </c>
      <c r="D12" s="22" t="s">
        <v>5</v>
      </c>
      <c r="E12" s="24">
        <v>46099.0</v>
      </c>
      <c r="F12" s="24">
        <v>46164.0</v>
      </c>
      <c r="G12" s="24">
        <v>46164.0</v>
      </c>
      <c r="H12" s="25" t="str">
        <f t="shared" si="2"/>
        <v>Тийм</v>
      </c>
      <c r="I12" s="26">
        <v>1.0</v>
      </c>
      <c r="J12" s="27">
        <v>10.0</v>
      </c>
      <c r="K12" s="23" t="s">
        <v>72</v>
      </c>
    </row>
    <row r="13">
      <c r="A13" s="21">
        <v>8.0</v>
      </c>
      <c r="B13" s="29" t="s">
        <v>73</v>
      </c>
      <c r="C13" s="23" t="s">
        <v>74</v>
      </c>
      <c r="D13" s="22" t="s">
        <v>5</v>
      </c>
      <c r="E13" s="24">
        <v>46155.0</v>
      </c>
      <c r="F13" s="24">
        <v>46167.0</v>
      </c>
      <c r="G13" s="24">
        <v>46167.0</v>
      </c>
      <c r="H13" s="25" t="str">
        <f t="shared" si="2"/>
        <v>Тийм</v>
      </c>
      <c r="I13" s="26">
        <v>1.0</v>
      </c>
      <c r="J13" s="27">
        <v>10.0</v>
      </c>
      <c r="K13" s="23" t="s">
        <v>78</v>
      </c>
    </row>
    <row r="14">
      <c r="A14" s="21">
        <f t="shared" ref="A14:A100" si="3">IF($B14&lt;&gt;"",ROW()-5,"")</f>
        <v>9</v>
      </c>
      <c r="B14" s="23" t="s">
        <v>83</v>
      </c>
      <c r="C14" s="23" t="s">
        <v>85</v>
      </c>
      <c r="D14" s="22" t="s">
        <v>5</v>
      </c>
      <c r="E14" s="24">
        <v>46120.0</v>
      </c>
      <c r="F14" s="24">
        <v>46162.0</v>
      </c>
      <c r="G14" s="24">
        <v>46162.0</v>
      </c>
      <c r="H14" s="25" t="str">
        <f t="shared" si="2"/>
        <v>Тийм</v>
      </c>
      <c r="I14" s="26">
        <v>1.0</v>
      </c>
      <c r="J14" s="27">
        <v>10.0</v>
      </c>
      <c r="K14" s="23" t="s">
        <v>87</v>
      </c>
    </row>
    <row r="15">
      <c r="A15" s="21">
        <f t="shared" si="3"/>
        <v>10</v>
      </c>
      <c r="B15" s="23" t="s">
        <v>88</v>
      </c>
      <c r="C15" s="23" t="s">
        <v>91</v>
      </c>
      <c r="D15" s="22" t="s">
        <v>5</v>
      </c>
      <c r="E15" s="24">
        <v>46101.0</v>
      </c>
      <c r="F15" s="24">
        <v>46164.0</v>
      </c>
      <c r="G15" s="24">
        <v>46164.0</v>
      </c>
      <c r="H15" s="25" t="str">
        <f t="shared" si="2"/>
        <v>Тийм</v>
      </c>
      <c r="I15" s="26">
        <v>1.0</v>
      </c>
      <c r="J15" s="27">
        <v>10.0</v>
      </c>
      <c r="K15" s="23" t="s">
        <v>95</v>
      </c>
    </row>
    <row r="16">
      <c r="A16" s="21">
        <f t="shared" si="3"/>
        <v>11</v>
      </c>
      <c r="B16" s="23" t="s">
        <v>96</v>
      </c>
      <c r="C16" s="23" t="s">
        <v>97</v>
      </c>
      <c r="D16" s="22" t="s">
        <v>5</v>
      </c>
      <c r="E16" s="24">
        <v>46104.0</v>
      </c>
      <c r="F16" s="24">
        <v>46171.0</v>
      </c>
      <c r="G16" s="24">
        <v>46171.0</v>
      </c>
      <c r="H16" s="25" t="str">
        <f t="shared" si="2"/>
        <v>Тийм</v>
      </c>
      <c r="I16" s="26">
        <v>1.0</v>
      </c>
      <c r="J16" s="27">
        <v>10.0</v>
      </c>
      <c r="K16" s="23" t="s">
        <v>78</v>
      </c>
    </row>
    <row r="17">
      <c r="A17" s="21">
        <f t="shared" si="3"/>
        <v>12</v>
      </c>
      <c r="B17" s="23" t="s">
        <v>99</v>
      </c>
      <c r="C17" s="23" t="s">
        <v>100</v>
      </c>
      <c r="D17" s="22" t="s">
        <v>5</v>
      </c>
      <c r="E17" s="24">
        <v>46129.0</v>
      </c>
      <c r="F17" s="24">
        <v>46155.0</v>
      </c>
      <c r="G17" s="24">
        <v>46155.0</v>
      </c>
      <c r="H17" s="25" t="str">
        <f t="shared" si="2"/>
        <v>Тийм</v>
      </c>
      <c r="I17" s="26">
        <v>1.0</v>
      </c>
      <c r="J17" s="27">
        <v>10.0</v>
      </c>
      <c r="K17" s="23" t="s">
        <v>102</v>
      </c>
    </row>
    <row r="18">
      <c r="A18" s="21">
        <f t="shared" si="3"/>
        <v>13</v>
      </c>
      <c r="B18" s="23" t="s">
        <v>104</v>
      </c>
      <c r="C18" s="23" t="s">
        <v>105</v>
      </c>
      <c r="D18" s="22" t="s">
        <v>5</v>
      </c>
      <c r="E18" s="24">
        <v>46127.0</v>
      </c>
      <c r="F18" s="24">
        <v>46132.0</v>
      </c>
      <c r="G18" s="24">
        <v>46132.0</v>
      </c>
      <c r="H18" s="25" t="str">
        <f t="shared" si="2"/>
        <v>Тийм</v>
      </c>
      <c r="I18" s="26">
        <v>1.0</v>
      </c>
      <c r="J18" s="27">
        <v>10.0</v>
      </c>
      <c r="K18" s="23" t="s">
        <v>106</v>
      </c>
    </row>
    <row r="19">
      <c r="A19" s="21">
        <f t="shared" si="3"/>
        <v>14</v>
      </c>
      <c r="B19" s="23" t="s">
        <v>107</v>
      </c>
      <c r="C19" s="23" t="s">
        <v>110</v>
      </c>
      <c r="D19" s="22" t="s">
        <v>5</v>
      </c>
      <c r="E19" s="24">
        <v>46108.0</v>
      </c>
      <c r="F19" s="24">
        <v>46171.0</v>
      </c>
      <c r="G19" s="24">
        <v>46171.0</v>
      </c>
      <c r="H19" s="25" t="str">
        <f t="shared" si="2"/>
        <v>Тийм</v>
      </c>
      <c r="I19" s="26">
        <v>1.0</v>
      </c>
      <c r="J19" s="27">
        <v>10.0</v>
      </c>
      <c r="K19" s="23" t="s">
        <v>115</v>
      </c>
    </row>
    <row r="20">
      <c r="A20" s="21">
        <f t="shared" si="3"/>
        <v>15</v>
      </c>
      <c r="B20" s="23" t="s">
        <v>116</v>
      </c>
      <c r="C20" s="23" t="s">
        <v>117</v>
      </c>
      <c r="D20" s="23" t="s">
        <v>5</v>
      </c>
      <c r="E20" s="24">
        <v>46097.0</v>
      </c>
      <c r="F20" s="24">
        <v>46141.0</v>
      </c>
      <c r="G20" s="24">
        <v>46141.0</v>
      </c>
      <c r="H20" s="25" t="str">
        <f t="shared" si="2"/>
        <v>Тийм</v>
      </c>
      <c r="I20" s="26">
        <v>1.0</v>
      </c>
      <c r="J20" s="27">
        <v>10.0</v>
      </c>
      <c r="K20" s="23" t="s">
        <v>119</v>
      </c>
    </row>
    <row r="21" ht="15.75" customHeight="1">
      <c r="A21" s="21">
        <f t="shared" si="3"/>
        <v>16</v>
      </c>
      <c r="B21" s="22" t="s">
        <v>120</v>
      </c>
      <c r="C21" s="22" t="s">
        <v>121</v>
      </c>
      <c r="D21" s="22" t="s">
        <v>5</v>
      </c>
      <c r="E21" s="24">
        <v>46150.0</v>
      </c>
      <c r="F21" s="24">
        <v>46150.0</v>
      </c>
      <c r="G21" s="24">
        <v>46150.0</v>
      </c>
      <c r="H21" s="25" t="str">
        <f t="shared" si="2"/>
        <v>Тийм</v>
      </c>
      <c r="I21" s="26">
        <v>1.0</v>
      </c>
      <c r="J21" s="27">
        <v>10.0</v>
      </c>
      <c r="K21" s="23" t="s">
        <v>106</v>
      </c>
    </row>
    <row r="22" ht="15.75" customHeight="1">
      <c r="A22" s="42" t="str">
        <f t="shared" si="3"/>
        <v/>
      </c>
      <c r="B22" s="43"/>
      <c r="C22" s="43"/>
      <c r="D22" s="43"/>
      <c r="E22" s="44"/>
      <c r="F22" s="44"/>
      <c r="G22" s="44"/>
      <c r="H22" s="42" t="str">
        <f t="shared" si="2"/>
        <v/>
      </c>
      <c r="I22" s="45"/>
      <c r="J22" s="46"/>
      <c r="K22" s="43"/>
    </row>
    <row r="23" ht="15.75" customHeight="1">
      <c r="A23" s="42" t="str">
        <f t="shared" si="3"/>
        <v/>
      </c>
      <c r="B23" s="43"/>
      <c r="C23" s="43"/>
      <c r="D23" s="43"/>
      <c r="E23" s="44"/>
      <c r="F23" s="44"/>
      <c r="G23" s="44"/>
      <c r="H23" s="42" t="str">
        <f t="shared" si="2"/>
        <v/>
      </c>
      <c r="I23" s="45"/>
      <c r="J23" s="46"/>
      <c r="K23" s="43"/>
    </row>
    <row r="24" ht="15.75" customHeight="1">
      <c r="A24" s="49" t="str">
        <f t="shared" si="3"/>
        <v/>
      </c>
      <c r="B24" s="50"/>
      <c r="C24" s="50"/>
      <c r="D24" s="50"/>
      <c r="E24" s="52"/>
      <c r="F24" s="52"/>
      <c r="G24" s="52"/>
      <c r="H24" s="49" t="str">
        <f t="shared" si="2"/>
        <v/>
      </c>
      <c r="I24" s="54"/>
      <c r="J24" s="55"/>
      <c r="K24" s="50"/>
    </row>
    <row r="25" ht="15.75" customHeight="1">
      <c r="A25" s="49" t="str">
        <f t="shared" si="3"/>
        <v/>
      </c>
      <c r="B25" s="50"/>
      <c r="C25" s="50"/>
      <c r="D25" s="50"/>
      <c r="E25" s="52"/>
      <c r="F25" s="52"/>
      <c r="G25" s="52"/>
      <c r="H25" s="49" t="str">
        <f t="shared" si="2"/>
        <v/>
      </c>
      <c r="I25" s="54"/>
      <c r="J25" s="55"/>
      <c r="K25" s="50"/>
    </row>
    <row r="26" ht="15.75" customHeight="1">
      <c r="A26" s="49" t="str">
        <f t="shared" si="3"/>
        <v/>
      </c>
      <c r="B26" s="50"/>
      <c r="C26" s="50"/>
      <c r="D26" s="50"/>
      <c r="E26" s="52"/>
      <c r="F26" s="52"/>
      <c r="G26" s="52"/>
      <c r="H26" s="49" t="str">
        <f t="shared" si="2"/>
        <v/>
      </c>
      <c r="I26" s="54"/>
      <c r="J26" s="55"/>
      <c r="K26" s="50"/>
    </row>
    <row r="27" ht="15.75" customHeight="1">
      <c r="A27" s="49" t="str">
        <f t="shared" si="3"/>
        <v/>
      </c>
      <c r="B27" s="50"/>
      <c r="C27" s="50"/>
      <c r="D27" s="50"/>
      <c r="E27" s="52"/>
      <c r="F27" s="52"/>
      <c r="G27" s="52"/>
      <c r="H27" s="49" t="str">
        <f t="shared" si="2"/>
        <v/>
      </c>
      <c r="I27" s="54"/>
      <c r="J27" s="55"/>
      <c r="K27" s="50"/>
    </row>
    <row r="28" ht="15.75" customHeight="1">
      <c r="A28" s="49" t="str">
        <f t="shared" si="3"/>
        <v/>
      </c>
      <c r="B28" s="50"/>
      <c r="C28" s="50"/>
      <c r="D28" s="50"/>
      <c r="E28" s="52"/>
      <c r="F28" s="52"/>
      <c r="G28" s="52"/>
      <c r="H28" s="49" t="str">
        <f t="shared" si="2"/>
        <v/>
      </c>
      <c r="I28" s="54"/>
      <c r="J28" s="55"/>
      <c r="K28" s="50"/>
    </row>
    <row r="29" ht="15.75" customHeight="1">
      <c r="A29" s="49" t="str">
        <f t="shared" si="3"/>
        <v/>
      </c>
      <c r="B29" s="50"/>
      <c r="C29" s="50"/>
      <c r="D29" s="50"/>
      <c r="E29" s="52"/>
      <c r="F29" s="52"/>
      <c r="G29" s="52"/>
      <c r="H29" s="49" t="str">
        <f t="shared" si="2"/>
        <v/>
      </c>
      <c r="I29" s="54"/>
      <c r="J29" s="55"/>
      <c r="K29" s="50"/>
    </row>
    <row r="30" ht="15.75" customHeight="1">
      <c r="A30" s="49" t="str">
        <f t="shared" si="3"/>
        <v/>
      </c>
      <c r="B30" s="50"/>
      <c r="C30" s="50"/>
      <c r="D30" s="50"/>
      <c r="E30" s="52"/>
      <c r="F30" s="52"/>
      <c r="G30" s="52"/>
      <c r="H30" s="49" t="str">
        <f t="shared" si="2"/>
        <v/>
      </c>
      <c r="I30" s="54"/>
      <c r="J30" s="55"/>
      <c r="K30" s="50"/>
    </row>
    <row r="31" ht="15.75" customHeight="1">
      <c r="A31" s="49" t="str">
        <f t="shared" si="3"/>
        <v/>
      </c>
      <c r="B31" s="50"/>
      <c r="C31" s="50"/>
      <c r="D31" s="50"/>
      <c r="E31" s="52"/>
      <c r="F31" s="52"/>
      <c r="G31" s="52"/>
      <c r="H31" s="49" t="str">
        <f t="shared" si="2"/>
        <v/>
      </c>
      <c r="I31" s="54"/>
      <c r="J31" s="55"/>
      <c r="K31" s="50"/>
    </row>
    <row r="32" ht="15.75" customHeight="1">
      <c r="A32" s="49" t="str">
        <f t="shared" si="3"/>
        <v/>
      </c>
      <c r="B32" s="50"/>
      <c r="C32" s="50"/>
      <c r="D32" s="50"/>
      <c r="E32" s="52"/>
      <c r="F32" s="52"/>
      <c r="G32" s="52"/>
      <c r="H32" s="49" t="str">
        <f t="shared" si="2"/>
        <v/>
      </c>
      <c r="I32" s="54"/>
      <c r="J32" s="55"/>
      <c r="K32" s="50"/>
    </row>
    <row r="33" ht="15.75" customHeight="1">
      <c r="A33" s="49" t="str">
        <f t="shared" si="3"/>
        <v/>
      </c>
      <c r="B33" s="50"/>
      <c r="C33" s="50"/>
      <c r="D33" s="50"/>
      <c r="E33" s="52"/>
      <c r="F33" s="52"/>
      <c r="G33" s="52"/>
      <c r="H33" s="49" t="str">
        <f t="shared" si="2"/>
        <v/>
      </c>
      <c r="I33" s="54"/>
      <c r="J33" s="55"/>
      <c r="K33" s="50"/>
    </row>
    <row r="34" ht="15.75" customHeight="1">
      <c r="A34" s="49" t="str">
        <f t="shared" si="3"/>
        <v/>
      </c>
      <c r="B34" s="50"/>
      <c r="C34" s="50"/>
      <c r="D34" s="50"/>
      <c r="E34" s="52"/>
      <c r="F34" s="52"/>
      <c r="G34" s="52"/>
      <c r="H34" s="49" t="str">
        <f t="shared" si="2"/>
        <v/>
      </c>
      <c r="I34" s="54"/>
      <c r="J34" s="55"/>
      <c r="K34" s="50"/>
    </row>
    <row r="35" ht="15.75" customHeight="1">
      <c r="A35" s="49" t="str">
        <f t="shared" si="3"/>
        <v/>
      </c>
      <c r="B35" s="50"/>
      <c r="C35" s="50"/>
      <c r="D35" s="50"/>
      <c r="E35" s="52"/>
      <c r="F35" s="52"/>
      <c r="G35" s="52"/>
      <c r="H35" s="49" t="str">
        <f t="shared" si="2"/>
        <v/>
      </c>
      <c r="I35" s="54"/>
      <c r="J35" s="55"/>
      <c r="K35" s="50"/>
    </row>
    <row r="36" ht="15.75" customHeight="1">
      <c r="A36" s="49" t="str">
        <f t="shared" si="3"/>
        <v/>
      </c>
      <c r="B36" s="50"/>
      <c r="C36" s="50"/>
      <c r="D36" s="50"/>
      <c r="E36" s="52"/>
      <c r="F36" s="52"/>
      <c r="G36" s="52"/>
      <c r="H36" s="49" t="str">
        <f t="shared" si="2"/>
        <v/>
      </c>
      <c r="I36" s="54"/>
      <c r="J36" s="55"/>
      <c r="K36" s="50"/>
    </row>
    <row r="37" ht="15.75" customHeight="1">
      <c r="A37" s="49" t="str">
        <f t="shared" si="3"/>
        <v/>
      </c>
      <c r="B37" s="50"/>
      <c r="C37" s="50"/>
      <c r="D37" s="50"/>
      <c r="E37" s="52"/>
      <c r="F37" s="52"/>
      <c r="G37" s="52"/>
      <c r="H37" s="49" t="str">
        <f t="shared" si="2"/>
        <v/>
      </c>
      <c r="I37" s="54"/>
      <c r="J37" s="55"/>
      <c r="K37" s="50"/>
    </row>
    <row r="38" ht="15.75" customHeight="1">
      <c r="A38" s="49" t="str">
        <f t="shared" si="3"/>
        <v/>
      </c>
      <c r="B38" s="50"/>
      <c r="C38" s="50"/>
      <c r="D38" s="50"/>
      <c r="E38" s="52"/>
      <c r="F38" s="52"/>
      <c r="G38" s="52"/>
      <c r="H38" s="49" t="str">
        <f t="shared" si="2"/>
        <v/>
      </c>
      <c r="I38" s="54"/>
      <c r="J38" s="55"/>
      <c r="K38" s="50"/>
    </row>
    <row r="39" ht="15.75" customHeight="1">
      <c r="A39" s="49" t="str">
        <f t="shared" si="3"/>
        <v/>
      </c>
      <c r="B39" s="50"/>
      <c r="C39" s="50"/>
      <c r="D39" s="50"/>
      <c r="E39" s="52"/>
      <c r="F39" s="52"/>
      <c r="G39" s="52"/>
      <c r="H39" s="49" t="str">
        <f t="shared" si="2"/>
        <v/>
      </c>
      <c r="I39" s="54"/>
      <c r="J39" s="55"/>
      <c r="K39" s="50"/>
    </row>
    <row r="40" ht="15.75" customHeight="1">
      <c r="A40" s="49" t="str">
        <f t="shared" si="3"/>
        <v/>
      </c>
      <c r="B40" s="50"/>
      <c r="C40" s="50"/>
      <c r="D40" s="50"/>
      <c r="E40" s="52"/>
      <c r="F40" s="52"/>
      <c r="G40" s="52"/>
      <c r="H40" s="49" t="str">
        <f t="shared" si="2"/>
        <v/>
      </c>
      <c r="I40" s="54"/>
      <c r="J40" s="55"/>
      <c r="K40" s="50"/>
    </row>
    <row r="41" ht="15.75" customHeight="1">
      <c r="A41" s="49" t="str">
        <f t="shared" si="3"/>
        <v/>
      </c>
      <c r="B41" s="50"/>
      <c r="C41" s="50"/>
      <c r="D41" s="50"/>
      <c r="E41" s="52"/>
      <c r="F41" s="52"/>
      <c r="G41" s="52"/>
      <c r="H41" s="49" t="str">
        <f t="shared" si="2"/>
        <v/>
      </c>
      <c r="I41" s="54"/>
      <c r="J41" s="55"/>
      <c r="K41" s="50"/>
    </row>
    <row r="42" ht="15.75" customHeight="1">
      <c r="A42" s="49" t="str">
        <f t="shared" si="3"/>
        <v/>
      </c>
      <c r="B42" s="50"/>
      <c r="C42" s="50"/>
      <c r="D42" s="50"/>
      <c r="E42" s="52"/>
      <c r="F42" s="52"/>
      <c r="G42" s="52"/>
      <c r="H42" s="49" t="str">
        <f t="shared" si="2"/>
        <v/>
      </c>
      <c r="I42" s="54"/>
      <c r="J42" s="55"/>
      <c r="K42" s="50"/>
    </row>
    <row r="43" ht="15.75" customHeight="1">
      <c r="A43" s="49" t="str">
        <f t="shared" si="3"/>
        <v/>
      </c>
      <c r="B43" s="50"/>
      <c r="C43" s="50"/>
      <c r="D43" s="50"/>
      <c r="E43" s="52"/>
      <c r="F43" s="52"/>
      <c r="G43" s="52"/>
      <c r="H43" s="49" t="str">
        <f t="shared" si="2"/>
        <v/>
      </c>
      <c r="I43" s="54"/>
      <c r="J43" s="55"/>
      <c r="K43" s="50"/>
    </row>
    <row r="44" ht="15.75" customHeight="1">
      <c r="A44" s="49" t="str">
        <f t="shared" si="3"/>
        <v/>
      </c>
      <c r="B44" s="50"/>
      <c r="C44" s="50"/>
      <c r="D44" s="50"/>
      <c r="E44" s="52"/>
      <c r="F44" s="52"/>
      <c r="G44" s="52"/>
      <c r="H44" s="49" t="str">
        <f t="shared" si="2"/>
        <v/>
      </c>
      <c r="I44" s="54"/>
      <c r="J44" s="55"/>
      <c r="K44" s="50"/>
    </row>
    <row r="45" ht="15.75" customHeight="1">
      <c r="A45" s="49" t="str">
        <f t="shared" si="3"/>
        <v/>
      </c>
      <c r="B45" s="50"/>
      <c r="C45" s="50"/>
      <c r="D45" s="50"/>
      <c r="E45" s="52"/>
      <c r="F45" s="52"/>
      <c r="G45" s="52"/>
      <c r="H45" s="49" t="str">
        <f t="shared" si="2"/>
        <v/>
      </c>
      <c r="I45" s="54"/>
      <c r="J45" s="55"/>
      <c r="K45" s="50"/>
    </row>
    <row r="46" ht="15.75" customHeight="1">
      <c r="A46" s="49" t="str">
        <f t="shared" si="3"/>
        <v/>
      </c>
      <c r="B46" s="50"/>
      <c r="C46" s="50"/>
      <c r="D46" s="50"/>
      <c r="E46" s="52"/>
      <c r="F46" s="52"/>
      <c r="G46" s="52"/>
      <c r="H46" s="49" t="str">
        <f t="shared" si="2"/>
        <v/>
      </c>
      <c r="I46" s="54"/>
      <c r="J46" s="55"/>
      <c r="K46" s="50"/>
    </row>
    <row r="47" ht="15.75" customHeight="1">
      <c r="A47" s="49" t="str">
        <f t="shared" si="3"/>
        <v/>
      </c>
      <c r="B47" s="50"/>
      <c r="C47" s="50"/>
      <c r="D47" s="50"/>
      <c r="E47" s="52"/>
      <c r="F47" s="52"/>
      <c r="G47" s="52"/>
      <c r="H47" s="49" t="str">
        <f t="shared" si="2"/>
        <v/>
      </c>
      <c r="I47" s="54"/>
      <c r="J47" s="55"/>
      <c r="K47" s="50"/>
    </row>
    <row r="48" ht="15.75" customHeight="1">
      <c r="A48" s="49" t="str">
        <f t="shared" si="3"/>
        <v/>
      </c>
      <c r="B48" s="50"/>
      <c r="C48" s="50"/>
      <c r="D48" s="50"/>
      <c r="E48" s="52"/>
      <c r="F48" s="52"/>
      <c r="G48" s="52"/>
      <c r="H48" s="49" t="str">
        <f t="shared" si="2"/>
        <v/>
      </c>
      <c r="I48" s="54"/>
      <c r="J48" s="55"/>
      <c r="K48" s="50"/>
    </row>
    <row r="49" ht="15.75" customHeight="1">
      <c r="A49" s="49" t="str">
        <f t="shared" si="3"/>
        <v/>
      </c>
      <c r="B49" s="50"/>
      <c r="C49" s="50"/>
      <c r="D49" s="50"/>
      <c r="E49" s="52"/>
      <c r="F49" s="52"/>
      <c r="G49" s="52"/>
      <c r="H49" s="49" t="str">
        <f t="shared" si="2"/>
        <v/>
      </c>
      <c r="I49" s="54"/>
      <c r="J49" s="55"/>
      <c r="K49" s="50"/>
    </row>
    <row r="50" ht="15.75" customHeight="1">
      <c r="A50" s="49" t="str">
        <f t="shared" si="3"/>
        <v/>
      </c>
      <c r="B50" s="50"/>
      <c r="C50" s="50"/>
      <c r="D50" s="50"/>
      <c r="E50" s="52"/>
      <c r="F50" s="52"/>
      <c r="G50" s="52"/>
      <c r="H50" s="49" t="str">
        <f t="shared" si="2"/>
        <v/>
      </c>
      <c r="I50" s="54"/>
      <c r="J50" s="55"/>
      <c r="K50" s="50"/>
    </row>
    <row r="51" ht="15.75" customHeight="1">
      <c r="A51" s="49" t="str">
        <f t="shared" si="3"/>
        <v/>
      </c>
      <c r="B51" s="50"/>
      <c r="C51" s="50"/>
      <c r="D51" s="50"/>
      <c r="E51" s="52"/>
      <c r="F51" s="52"/>
      <c r="G51" s="52"/>
      <c r="H51" s="49" t="str">
        <f t="shared" si="2"/>
        <v/>
      </c>
      <c r="I51" s="54"/>
      <c r="J51" s="55"/>
      <c r="K51" s="50"/>
    </row>
    <row r="52" ht="15.75" customHeight="1">
      <c r="A52" s="49" t="str">
        <f t="shared" si="3"/>
        <v/>
      </c>
      <c r="B52" s="50"/>
      <c r="C52" s="50"/>
      <c r="D52" s="50"/>
      <c r="E52" s="52"/>
      <c r="F52" s="52"/>
      <c r="G52" s="52"/>
      <c r="H52" s="49" t="str">
        <f t="shared" si="2"/>
        <v/>
      </c>
      <c r="I52" s="54"/>
      <c r="J52" s="55"/>
      <c r="K52" s="50"/>
    </row>
    <row r="53" ht="15.75" customHeight="1">
      <c r="A53" s="49" t="str">
        <f t="shared" si="3"/>
        <v/>
      </c>
      <c r="B53" s="50"/>
      <c r="C53" s="50"/>
      <c r="D53" s="50"/>
      <c r="E53" s="52"/>
      <c r="F53" s="52"/>
      <c r="G53" s="52"/>
      <c r="H53" s="49" t="str">
        <f t="shared" si="2"/>
        <v/>
      </c>
      <c r="I53" s="54"/>
      <c r="J53" s="55"/>
      <c r="K53" s="50"/>
    </row>
    <row r="54" ht="15.75" customHeight="1">
      <c r="A54" s="49" t="str">
        <f t="shared" si="3"/>
        <v/>
      </c>
      <c r="B54" s="50"/>
      <c r="C54" s="50"/>
      <c r="D54" s="50"/>
      <c r="E54" s="52"/>
      <c r="F54" s="52"/>
      <c r="G54" s="52"/>
      <c r="H54" s="49" t="str">
        <f t="shared" si="2"/>
        <v/>
      </c>
      <c r="I54" s="54"/>
      <c r="J54" s="55"/>
      <c r="K54" s="50"/>
    </row>
    <row r="55" ht="15.75" customHeight="1">
      <c r="A55" s="49" t="str">
        <f t="shared" si="3"/>
        <v/>
      </c>
      <c r="B55" s="50"/>
      <c r="C55" s="50"/>
      <c r="D55" s="50"/>
      <c r="E55" s="52"/>
      <c r="F55" s="52"/>
      <c r="G55" s="52"/>
      <c r="H55" s="49" t="str">
        <f t="shared" si="2"/>
        <v/>
      </c>
      <c r="I55" s="54"/>
      <c r="J55" s="55"/>
      <c r="K55" s="50"/>
    </row>
    <row r="56" ht="15.75" customHeight="1">
      <c r="A56" s="49" t="str">
        <f t="shared" si="3"/>
        <v/>
      </c>
      <c r="B56" s="50"/>
      <c r="C56" s="50"/>
      <c r="D56" s="50"/>
      <c r="E56" s="52"/>
      <c r="F56" s="52"/>
      <c r="G56" s="52"/>
      <c r="H56" s="49" t="str">
        <f t="shared" si="2"/>
        <v/>
      </c>
      <c r="I56" s="54"/>
      <c r="J56" s="55"/>
      <c r="K56" s="50"/>
    </row>
    <row r="57" ht="15.75" customHeight="1">
      <c r="A57" s="49" t="str">
        <f t="shared" si="3"/>
        <v/>
      </c>
      <c r="B57" s="50"/>
      <c r="C57" s="50"/>
      <c r="D57" s="50"/>
      <c r="E57" s="52"/>
      <c r="F57" s="52"/>
      <c r="G57" s="52"/>
      <c r="H57" s="49" t="str">
        <f t="shared" si="2"/>
        <v/>
      </c>
      <c r="I57" s="54"/>
      <c r="J57" s="55"/>
      <c r="K57" s="50"/>
    </row>
    <row r="58" ht="15.75" customHeight="1">
      <c r="A58" s="49" t="str">
        <f t="shared" si="3"/>
        <v/>
      </c>
      <c r="B58" s="50"/>
      <c r="C58" s="50"/>
      <c r="D58" s="50"/>
      <c r="E58" s="52"/>
      <c r="F58" s="52"/>
      <c r="G58" s="52"/>
      <c r="H58" s="49" t="str">
        <f t="shared" si="2"/>
        <v/>
      </c>
      <c r="I58" s="54"/>
      <c r="J58" s="55"/>
      <c r="K58" s="50"/>
    </row>
    <row r="59" ht="15.75" customHeight="1">
      <c r="A59" s="49" t="str">
        <f t="shared" si="3"/>
        <v/>
      </c>
      <c r="B59" s="50"/>
      <c r="C59" s="50"/>
      <c r="D59" s="50"/>
      <c r="E59" s="52"/>
      <c r="F59" s="52"/>
      <c r="G59" s="52"/>
      <c r="H59" s="49" t="str">
        <f t="shared" si="2"/>
        <v/>
      </c>
      <c r="I59" s="54"/>
      <c r="J59" s="55"/>
      <c r="K59" s="50"/>
    </row>
    <row r="60" ht="15.75" customHeight="1">
      <c r="A60" s="49" t="str">
        <f t="shared" si="3"/>
        <v/>
      </c>
      <c r="B60" s="50"/>
      <c r="C60" s="50"/>
      <c r="D60" s="50"/>
      <c r="E60" s="52"/>
      <c r="F60" s="52"/>
      <c r="G60" s="52"/>
      <c r="H60" s="49" t="str">
        <f t="shared" si="2"/>
        <v/>
      </c>
      <c r="I60" s="54"/>
      <c r="J60" s="55"/>
      <c r="K60" s="50"/>
    </row>
    <row r="61" ht="15.75" customHeight="1">
      <c r="A61" s="49" t="str">
        <f t="shared" si="3"/>
        <v/>
      </c>
      <c r="B61" s="50"/>
      <c r="C61" s="50"/>
      <c r="D61" s="50"/>
      <c r="E61" s="52"/>
      <c r="F61" s="52"/>
      <c r="G61" s="52"/>
      <c r="H61" s="49" t="str">
        <f t="shared" si="2"/>
        <v/>
      </c>
      <c r="I61" s="54"/>
      <c r="J61" s="55"/>
      <c r="K61" s="50"/>
    </row>
    <row r="62" ht="15.75" customHeight="1">
      <c r="A62" s="49" t="str">
        <f t="shared" si="3"/>
        <v/>
      </c>
      <c r="B62" s="50"/>
      <c r="C62" s="50"/>
      <c r="D62" s="50"/>
      <c r="E62" s="52"/>
      <c r="F62" s="52"/>
      <c r="G62" s="52"/>
      <c r="H62" s="49" t="str">
        <f t="shared" si="2"/>
        <v/>
      </c>
      <c r="I62" s="54"/>
      <c r="J62" s="55"/>
      <c r="K62" s="50"/>
    </row>
    <row r="63" ht="15.75" customHeight="1">
      <c r="A63" s="49" t="str">
        <f t="shared" si="3"/>
        <v/>
      </c>
      <c r="B63" s="50"/>
      <c r="C63" s="50"/>
      <c r="D63" s="50"/>
      <c r="E63" s="52"/>
      <c r="F63" s="52"/>
      <c r="G63" s="52"/>
      <c r="H63" s="49" t="str">
        <f t="shared" si="2"/>
        <v/>
      </c>
      <c r="I63" s="54"/>
      <c r="J63" s="55"/>
      <c r="K63" s="50"/>
    </row>
    <row r="64" ht="15.75" customHeight="1">
      <c r="A64" s="49" t="str">
        <f t="shared" si="3"/>
        <v/>
      </c>
      <c r="B64" s="50"/>
      <c r="C64" s="50"/>
      <c r="D64" s="50"/>
      <c r="E64" s="52"/>
      <c r="F64" s="52"/>
      <c r="G64" s="52"/>
      <c r="H64" s="49" t="str">
        <f t="shared" si="2"/>
        <v/>
      </c>
      <c r="I64" s="54"/>
      <c r="J64" s="55"/>
      <c r="K64" s="50"/>
    </row>
    <row r="65" ht="15.75" customHeight="1">
      <c r="A65" s="49" t="str">
        <f t="shared" si="3"/>
        <v/>
      </c>
      <c r="B65" s="50"/>
      <c r="C65" s="50"/>
      <c r="D65" s="50"/>
      <c r="E65" s="52"/>
      <c r="F65" s="52"/>
      <c r="G65" s="52"/>
      <c r="H65" s="49" t="str">
        <f t="shared" si="2"/>
        <v/>
      </c>
      <c r="I65" s="54"/>
      <c r="J65" s="55"/>
      <c r="K65" s="50"/>
    </row>
    <row r="66" ht="15.75" customHeight="1">
      <c r="A66" s="49" t="str">
        <f t="shared" si="3"/>
        <v/>
      </c>
      <c r="B66" s="50"/>
      <c r="C66" s="50"/>
      <c r="D66" s="50"/>
      <c r="E66" s="52"/>
      <c r="F66" s="52"/>
      <c r="G66" s="52"/>
      <c r="H66" s="49" t="str">
        <f t="shared" si="2"/>
        <v/>
      </c>
      <c r="I66" s="54"/>
      <c r="J66" s="55"/>
      <c r="K66" s="50"/>
    </row>
    <row r="67" ht="15.75" customHeight="1">
      <c r="A67" s="49" t="str">
        <f t="shared" si="3"/>
        <v/>
      </c>
      <c r="B67" s="50"/>
      <c r="C67" s="50"/>
      <c r="D67" s="50"/>
      <c r="E67" s="52"/>
      <c r="F67" s="52"/>
      <c r="G67" s="52"/>
      <c r="H67" s="49" t="str">
        <f t="shared" si="2"/>
        <v/>
      </c>
      <c r="I67" s="54"/>
      <c r="J67" s="55"/>
      <c r="K67" s="50"/>
    </row>
    <row r="68" ht="15.75" customHeight="1">
      <c r="A68" s="49" t="str">
        <f t="shared" si="3"/>
        <v/>
      </c>
      <c r="B68" s="50"/>
      <c r="C68" s="50"/>
      <c r="D68" s="50"/>
      <c r="E68" s="52"/>
      <c r="F68" s="52"/>
      <c r="G68" s="52"/>
      <c r="H68" s="49" t="str">
        <f t="shared" si="2"/>
        <v/>
      </c>
      <c r="I68" s="54"/>
      <c r="J68" s="55"/>
      <c r="K68" s="50"/>
    </row>
    <row r="69" ht="15.75" customHeight="1">
      <c r="A69" s="49" t="str">
        <f t="shared" si="3"/>
        <v/>
      </c>
      <c r="B69" s="50"/>
      <c r="C69" s="50"/>
      <c r="D69" s="50"/>
      <c r="E69" s="52"/>
      <c r="F69" s="52"/>
      <c r="G69" s="52"/>
      <c r="H69" s="49" t="str">
        <f t="shared" si="2"/>
        <v/>
      </c>
      <c r="I69" s="54"/>
      <c r="J69" s="55"/>
      <c r="K69" s="50"/>
    </row>
    <row r="70" ht="15.75" customHeight="1">
      <c r="A70" s="49" t="str">
        <f t="shared" si="3"/>
        <v/>
      </c>
      <c r="B70" s="50"/>
      <c r="C70" s="50"/>
      <c r="D70" s="50"/>
      <c r="E70" s="52"/>
      <c r="F70" s="52"/>
      <c r="G70" s="52"/>
      <c r="H70" s="49" t="str">
        <f t="shared" si="2"/>
        <v/>
      </c>
      <c r="I70" s="54"/>
      <c r="J70" s="55"/>
      <c r="K70" s="50"/>
    </row>
    <row r="71" ht="15.75" customHeight="1">
      <c r="A71" s="49" t="str">
        <f t="shared" si="3"/>
        <v/>
      </c>
      <c r="B71" s="50"/>
      <c r="C71" s="50"/>
      <c r="D71" s="50"/>
      <c r="E71" s="52"/>
      <c r="F71" s="52"/>
      <c r="G71" s="52"/>
      <c r="H71" s="49" t="str">
        <f t="shared" si="2"/>
        <v/>
      </c>
      <c r="I71" s="54"/>
      <c r="J71" s="55"/>
      <c r="K71" s="50"/>
    </row>
    <row r="72" ht="15.75" customHeight="1">
      <c r="A72" s="49" t="str">
        <f t="shared" si="3"/>
        <v/>
      </c>
      <c r="B72" s="50"/>
      <c r="C72" s="50"/>
      <c r="D72" s="50"/>
      <c r="E72" s="52"/>
      <c r="F72" s="52"/>
      <c r="G72" s="52"/>
      <c r="H72" s="49" t="str">
        <f t="shared" si="2"/>
        <v/>
      </c>
      <c r="I72" s="54"/>
      <c r="J72" s="55"/>
      <c r="K72" s="50"/>
    </row>
    <row r="73" ht="15.75" customHeight="1">
      <c r="A73" s="49" t="str">
        <f t="shared" si="3"/>
        <v/>
      </c>
      <c r="B73" s="50"/>
      <c r="C73" s="50"/>
      <c r="D73" s="50"/>
      <c r="E73" s="52"/>
      <c r="F73" s="52"/>
      <c r="G73" s="52"/>
      <c r="H73" s="49" t="str">
        <f t="shared" si="2"/>
        <v/>
      </c>
      <c r="I73" s="54"/>
      <c r="J73" s="55"/>
      <c r="K73" s="50"/>
    </row>
    <row r="74" ht="15.75" customHeight="1">
      <c r="A74" s="49" t="str">
        <f t="shared" si="3"/>
        <v/>
      </c>
      <c r="B74" s="50"/>
      <c r="C74" s="50"/>
      <c r="D74" s="50"/>
      <c r="E74" s="52"/>
      <c r="F74" s="52"/>
      <c r="G74" s="52"/>
      <c r="H74" s="49" t="str">
        <f t="shared" si="2"/>
        <v/>
      </c>
      <c r="I74" s="54"/>
      <c r="J74" s="55"/>
      <c r="K74" s="50"/>
    </row>
    <row r="75" ht="15.75" customHeight="1">
      <c r="A75" s="49" t="str">
        <f t="shared" si="3"/>
        <v/>
      </c>
      <c r="B75" s="50"/>
      <c r="C75" s="50"/>
      <c r="D75" s="50"/>
      <c r="E75" s="52"/>
      <c r="F75" s="52"/>
      <c r="G75" s="52"/>
      <c r="H75" s="49" t="str">
        <f t="shared" si="2"/>
        <v/>
      </c>
      <c r="I75" s="54"/>
      <c r="J75" s="55"/>
      <c r="K75" s="50"/>
    </row>
    <row r="76" ht="15.75" customHeight="1">
      <c r="A76" s="49" t="str">
        <f t="shared" si="3"/>
        <v/>
      </c>
      <c r="B76" s="50"/>
      <c r="C76" s="50"/>
      <c r="D76" s="50"/>
      <c r="E76" s="52"/>
      <c r="F76" s="52"/>
      <c r="G76" s="52"/>
      <c r="H76" s="49" t="str">
        <f t="shared" si="2"/>
        <v/>
      </c>
      <c r="I76" s="54"/>
      <c r="J76" s="55"/>
      <c r="K76" s="50"/>
    </row>
    <row r="77" ht="15.75" customHeight="1">
      <c r="A77" s="49" t="str">
        <f t="shared" si="3"/>
        <v/>
      </c>
      <c r="B77" s="50"/>
      <c r="C77" s="50"/>
      <c r="D77" s="50"/>
      <c r="E77" s="52"/>
      <c r="F77" s="52"/>
      <c r="G77" s="52"/>
      <c r="H77" s="49" t="str">
        <f t="shared" si="2"/>
        <v/>
      </c>
      <c r="I77" s="54"/>
      <c r="J77" s="55"/>
      <c r="K77" s="50"/>
    </row>
    <row r="78" ht="15.75" customHeight="1">
      <c r="A78" s="49" t="str">
        <f t="shared" si="3"/>
        <v/>
      </c>
      <c r="B78" s="50"/>
      <c r="C78" s="50"/>
      <c r="D78" s="50"/>
      <c r="E78" s="52"/>
      <c r="F78" s="52"/>
      <c r="G78" s="52"/>
      <c r="H78" s="49" t="str">
        <f t="shared" si="2"/>
        <v/>
      </c>
      <c r="I78" s="54"/>
      <c r="J78" s="55"/>
      <c r="K78" s="50"/>
    </row>
    <row r="79" ht="15.75" customHeight="1">
      <c r="A79" s="49" t="str">
        <f t="shared" si="3"/>
        <v/>
      </c>
      <c r="B79" s="50"/>
      <c r="C79" s="50"/>
      <c r="D79" s="50"/>
      <c r="E79" s="52"/>
      <c r="F79" s="52"/>
      <c r="G79" s="52"/>
      <c r="H79" s="49" t="str">
        <f t="shared" si="2"/>
        <v/>
      </c>
      <c r="I79" s="54"/>
      <c r="J79" s="55"/>
      <c r="K79" s="50"/>
    </row>
    <row r="80" ht="15.75" customHeight="1">
      <c r="A80" s="49" t="str">
        <f t="shared" si="3"/>
        <v/>
      </c>
      <c r="B80" s="50"/>
      <c r="C80" s="50"/>
      <c r="D80" s="50"/>
      <c r="E80" s="52"/>
      <c r="F80" s="52"/>
      <c r="G80" s="52"/>
      <c r="H80" s="49" t="str">
        <f t="shared" si="2"/>
        <v/>
      </c>
      <c r="I80" s="54"/>
      <c r="J80" s="55"/>
      <c r="K80" s="50"/>
    </row>
    <row r="81" ht="15.75" customHeight="1">
      <c r="A81" s="49" t="str">
        <f t="shared" si="3"/>
        <v/>
      </c>
      <c r="B81" s="50"/>
      <c r="C81" s="50"/>
      <c r="D81" s="50"/>
      <c r="E81" s="52"/>
      <c r="F81" s="52"/>
      <c r="G81" s="52"/>
      <c r="H81" s="49" t="str">
        <f t="shared" si="2"/>
        <v/>
      </c>
      <c r="I81" s="54"/>
      <c r="J81" s="55"/>
      <c r="K81" s="50"/>
    </row>
    <row r="82" ht="15.75" customHeight="1">
      <c r="A82" s="49" t="str">
        <f t="shared" si="3"/>
        <v/>
      </c>
      <c r="B82" s="50"/>
      <c r="C82" s="50"/>
      <c r="D82" s="50"/>
      <c r="E82" s="52"/>
      <c r="F82" s="52"/>
      <c r="G82" s="52"/>
      <c r="H82" s="49" t="str">
        <f t="shared" si="2"/>
        <v/>
      </c>
      <c r="I82" s="54"/>
      <c r="J82" s="55"/>
      <c r="K82" s="50"/>
    </row>
    <row r="83" ht="15.75" customHeight="1">
      <c r="A83" s="49" t="str">
        <f t="shared" si="3"/>
        <v/>
      </c>
      <c r="B83" s="50"/>
      <c r="C83" s="50"/>
      <c r="D83" s="50"/>
      <c r="E83" s="52"/>
      <c r="F83" s="52"/>
      <c r="G83" s="52"/>
      <c r="H83" s="49" t="str">
        <f t="shared" si="2"/>
        <v/>
      </c>
      <c r="I83" s="54"/>
      <c r="J83" s="55"/>
      <c r="K83" s="50"/>
    </row>
    <row r="84" ht="15.75" customHeight="1">
      <c r="A84" s="49" t="str">
        <f t="shared" si="3"/>
        <v/>
      </c>
      <c r="B84" s="50"/>
      <c r="C84" s="50"/>
      <c r="D84" s="50"/>
      <c r="E84" s="52"/>
      <c r="F84" s="52"/>
      <c r="G84" s="52"/>
      <c r="H84" s="49" t="str">
        <f t="shared" si="2"/>
        <v/>
      </c>
      <c r="I84" s="54"/>
      <c r="J84" s="55"/>
      <c r="K84" s="50"/>
    </row>
    <row r="85" ht="15.75" customHeight="1">
      <c r="A85" s="49" t="str">
        <f t="shared" si="3"/>
        <v/>
      </c>
      <c r="B85" s="50"/>
      <c r="C85" s="50"/>
      <c r="D85" s="50"/>
      <c r="E85" s="52"/>
      <c r="F85" s="52"/>
      <c r="G85" s="52"/>
      <c r="H85" s="49" t="str">
        <f t="shared" si="2"/>
        <v/>
      </c>
      <c r="I85" s="54"/>
      <c r="J85" s="55"/>
      <c r="K85" s="50"/>
    </row>
    <row r="86" ht="15.75" customHeight="1">
      <c r="A86" s="49" t="str">
        <f t="shared" si="3"/>
        <v/>
      </c>
      <c r="B86" s="50"/>
      <c r="C86" s="50"/>
      <c r="D86" s="50"/>
      <c r="E86" s="52"/>
      <c r="F86" s="52"/>
      <c r="G86" s="52"/>
      <c r="H86" s="49" t="str">
        <f t="shared" si="2"/>
        <v/>
      </c>
      <c r="I86" s="54"/>
      <c r="J86" s="55"/>
      <c r="K86" s="50"/>
    </row>
    <row r="87" ht="15.75" customHeight="1">
      <c r="A87" s="49" t="str">
        <f t="shared" si="3"/>
        <v/>
      </c>
      <c r="B87" s="50"/>
      <c r="C87" s="50"/>
      <c r="D87" s="50"/>
      <c r="E87" s="52"/>
      <c r="F87" s="52"/>
      <c r="G87" s="52"/>
      <c r="H87" s="49" t="str">
        <f t="shared" si="2"/>
        <v/>
      </c>
      <c r="I87" s="54"/>
      <c r="J87" s="55"/>
      <c r="K87" s="50"/>
    </row>
    <row r="88" ht="15.75" customHeight="1">
      <c r="A88" s="49" t="str">
        <f t="shared" si="3"/>
        <v/>
      </c>
      <c r="B88" s="50"/>
      <c r="C88" s="50"/>
      <c r="D88" s="50"/>
      <c r="E88" s="52"/>
      <c r="F88" s="52"/>
      <c r="G88" s="52"/>
      <c r="H88" s="49" t="str">
        <f t="shared" si="2"/>
        <v/>
      </c>
      <c r="I88" s="54"/>
      <c r="J88" s="55"/>
      <c r="K88" s="50"/>
    </row>
    <row r="89" ht="15.75" customHeight="1">
      <c r="A89" s="49" t="str">
        <f t="shared" si="3"/>
        <v/>
      </c>
      <c r="B89" s="50"/>
      <c r="C89" s="50"/>
      <c r="D89" s="50"/>
      <c r="E89" s="52"/>
      <c r="F89" s="52"/>
      <c r="G89" s="52"/>
      <c r="H89" s="49" t="str">
        <f t="shared" si="2"/>
        <v/>
      </c>
      <c r="I89" s="54"/>
      <c r="J89" s="55"/>
      <c r="K89" s="50"/>
    </row>
    <row r="90" ht="15.75" customHeight="1">
      <c r="A90" s="49" t="str">
        <f t="shared" si="3"/>
        <v/>
      </c>
      <c r="B90" s="50"/>
      <c r="C90" s="50"/>
      <c r="D90" s="50"/>
      <c r="E90" s="52"/>
      <c r="F90" s="52"/>
      <c r="G90" s="52"/>
      <c r="H90" s="49" t="str">
        <f t="shared" si="2"/>
        <v/>
      </c>
      <c r="I90" s="54"/>
      <c r="J90" s="55"/>
      <c r="K90" s="50"/>
    </row>
    <row r="91" ht="15.75" customHeight="1">
      <c r="A91" s="49" t="str">
        <f t="shared" si="3"/>
        <v/>
      </c>
      <c r="B91" s="50"/>
      <c r="C91" s="50"/>
      <c r="D91" s="50"/>
      <c r="E91" s="52"/>
      <c r="F91" s="52"/>
      <c r="G91" s="52"/>
      <c r="H91" s="49" t="str">
        <f t="shared" si="2"/>
        <v/>
      </c>
      <c r="I91" s="54"/>
      <c r="J91" s="55"/>
      <c r="K91" s="50"/>
    </row>
    <row r="92" ht="15.75" customHeight="1">
      <c r="A92" s="49" t="str">
        <f t="shared" si="3"/>
        <v/>
      </c>
      <c r="B92" s="50"/>
      <c r="C92" s="50"/>
      <c r="D92" s="50"/>
      <c r="E92" s="52"/>
      <c r="F92" s="52"/>
      <c r="G92" s="52"/>
      <c r="H92" s="49" t="str">
        <f t="shared" si="2"/>
        <v/>
      </c>
      <c r="I92" s="54"/>
      <c r="J92" s="55"/>
      <c r="K92" s="50"/>
    </row>
    <row r="93" ht="15.75" customHeight="1">
      <c r="A93" s="49" t="str">
        <f t="shared" si="3"/>
        <v/>
      </c>
      <c r="B93" s="50"/>
      <c r="C93" s="50"/>
      <c r="D93" s="50"/>
      <c r="E93" s="52"/>
      <c r="F93" s="52"/>
      <c r="G93" s="52"/>
      <c r="H93" s="49" t="str">
        <f t="shared" si="2"/>
        <v/>
      </c>
      <c r="I93" s="54"/>
      <c r="J93" s="55"/>
      <c r="K93" s="50"/>
    </row>
    <row r="94" ht="15.75" customHeight="1">
      <c r="A94" s="49" t="str">
        <f t="shared" si="3"/>
        <v/>
      </c>
      <c r="B94" s="50"/>
      <c r="C94" s="50"/>
      <c r="D94" s="50"/>
      <c r="E94" s="52"/>
      <c r="F94" s="52"/>
      <c r="G94" s="52"/>
      <c r="H94" s="49" t="str">
        <f t="shared" si="2"/>
        <v/>
      </c>
      <c r="I94" s="54"/>
      <c r="J94" s="55"/>
      <c r="K94" s="50"/>
    </row>
    <row r="95" ht="15.75" customHeight="1">
      <c r="A95" s="49" t="str">
        <f t="shared" si="3"/>
        <v/>
      </c>
      <c r="B95" s="50"/>
      <c r="C95" s="50"/>
      <c r="D95" s="50"/>
      <c r="E95" s="52"/>
      <c r="F95" s="52"/>
      <c r="G95" s="52"/>
      <c r="H95" s="49" t="str">
        <f t="shared" si="2"/>
        <v/>
      </c>
      <c r="I95" s="54"/>
      <c r="J95" s="55"/>
      <c r="K95" s="50"/>
    </row>
    <row r="96" ht="15.75" customHeight="1">
      <c r="A96" s="49" t="str">
        <f t="shared" si="3"/>
        <v/>
      </c>
      <c r="B96" s="50"/>
      <c r="C96" s="50"/>
      <c r="D96" s="50"/>
      <c r="E96" s="52"/>
      <c r="F96" s="52"/>
      <c r="G96" s="52"/>
      <c r="H96" s="49" t="str">
        <f t="shared" si="2"/>
        <v/>
      </c>
      <c r="I96" s="54"/>
      <c r="J96" s="55"/>
      <c r="K96" s="50"/>
    </row>
    <row r="97" ht="15.75" customHeight="1">
      <c r="A97" s="49" t="str">
        <f t="shared" si="3"/>
        <v/>
      </c>
      <c r="B97" s="50"/>
      <c r="C97" s="50"/>
      <c r="D97" s="50"/>
      <c r="E97" s="52"/>
      <c r="F97" s="52"/>
      <c r="G97" s="52"/>
      <c r="H97" s="49" t="str">
        <f t="shared" si="2"/>
        <v/>
      </c>
      <c r="I97" s="54"/>
      <c r="J97" s="55"/>
      <c r="K97" s="50"/>
    </row>
    <row r="98" ht="15.75" customHeight="1">
      <c r="A98" s="49" t="str">
        <f t="shared" si="3"/>
        <v/>
      </c>
      <c r="B98" s="50"/>
      <c r="C98" s="50"/>
      <c r="D98" s="50"/>
      <c r="E98" s="52"/>
      <c r="F98" s="52"/>
      <c r="G98" s="52"/>
      <c r="H98" s="49" t="str">
        <f t="shared" si="2"/>
        <v/>
      </c>
      <c r="I98" s="54"/>
      <c r="J98" s="55"/>
      <c r="K98" s="50"/>
    </row>
    <row r="99" ht="15.75" customHeight="1">
      <c r="A99" s="49" t="str">
        <f t="shared" si="3"/>
        <v/>
      </c>
      <c r="B99" s="50"/>
      <c r="C99" s="50"/>
      <c r="D99" s="50"/>
      <c r="E99" s="52"/>
      <c r="F99" s="52"/>
      <c r="G99" s="52"/>
      <c r="H99" s="49" t="str">
        <f t="shared" si="2"/>
        <v/>
      </c>
      <c r="I99" s="54"/>
      <c r="J99" s="55"/>
      <c r="K99" s="50"/>
    </row>
    <row r="100" ht="15.75" customHeight="1">
      <c r="A100" s="49" t="str">
        <f t="shared" si="3"/>
        <v/>
      </c>
      <c r="B100" s="50"/>
      <c r="C100" s="50"/>
      <c r="D100" s="50"/>
      <c r="E100" s="52"/>
      <c r="F100" s="52"/>
      <c r="G100" s="52"/>
      <c r="H100" s="49" t="str">
        <f t="shared" si="2"/>
        <v/>
      </c>
      <c r="I100" s="54"/>
      <c r="J100" s="55"/>
      <c r="K100" s="50"/>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A1:K1"/>
    <mergeCell ref="A2:K2"/>
    <mergeCell ref="A4:K4"/>
  </mergeCells>
  <conditionalFormatting sqref="H6:H100">
    <cfRule type="expression" dxfId="0" priority="1">
      <formula>$H6="Үгүй"</formula>
    </cfRule>
  </conditionalFormatting>
  <conditionalFormatting sqref="H6:H100">
    <cfRule type="expression" dxfId="1" priority="2">
      <formula>$H6="Тийм"</formula>
    </cfRule>
  </conditionalFormatting>
  <conditionalFormatting sqref="I6:I100">
    <cfRule type="cellIs" dxfId="2" priority="3" operator="lessThan">
      <formula>0.8</formula>
    </cfRule>
  </conditionalFormatting>
  <dataValidations>
    <dataValidation type="decimal" allowBlank="1" sqref="J6:J100">
      <formula1>1.0</formula1>
      <formula2>10.0</formula2>
    </dataValidation>
    <dataValidation type="decimal" allowBlank="1" sqref="I6:I100">
      <formula1>0.0</formula1>
      <formula2>1.0</formula2>
    </dataValidation>
    <dataValidation type="list" allowBlank="1" sqref="D6:D19 D21:D100">
      <formula1>'99_Сонголтууд'!$A$2:$A$6</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 width="24.0"/>
    <col customWidth="1" min="7" max="26" width="8.71"/>
  </cols>
  <sheetData>
    <row r="1" ht="31.5" customHeight="1">
      <c r="A1" s="5" t="s">
        <v>21</v>
      </c>
      <c r="B1" s="3"/>
      <c r="C1" s="3"/>
      <c r="D1" s="3"/>
      <c r="E1" s="3"/>
      <c r="F1" s="4"/>
    </row>
    <row r="2" ht="21.75" customHeight="1">
      <c r="A2" s="10" t="s">
        <v>23</v>
      </c>
      <c r="B2" s="7"/>
      <c r="C2" s="7"/>
      <c r="D2" s="7"/>
      <c r="E2" s="7"/>
      <c r="F2" s="8"/>
    </row>
    <row r="4" ht="24.0" customHeight="1">
      <c r="A4" s="12" t="s">
        <v>25</v>
      </c>
      <c r="B4" s="13"/>
      <c r="C4" s="13"/>
      <c r="D4" s="13"/>
      <c r="E4" s="13"/>
      <c r="F4" s="14"/>
    </row>
    <row r="5">
      <c r="A5" s="15" t="s">
        <v>26</v>
      </c>
      <c r="B5" s="17" t="s">
        <v>28</v>
      </c>
    </row>
    <row r="6">
      <c r="A6" s="15" t="s">
        <v>30</v>
      </c>
      <c r="B6" s="18" t="s">
        <v>32</v>
      </c>
    </row>
    <row r="7">
      <c r="A7" s="15" t="s">
        <v>35</v>
      </c>
      <c r="B7" s="19" t="s">
        <v>37</v>
      </c>
    </row>
    <row r="9" ht="24.0" customHeight="1">
      <c r="A9" s="12" t="s">
        <v>39</v>
      </c>
      <c r="B9" s="13"/>
      <c r="C9" s="13"/>
      <c r="D9" s="13"/>
      <c r="E9" s="13"/>
      <c r="F9" s="14"/>
    </row>
    <row r="10" ht="27.75" customHeight="1">
      <c r="A10" s="15" t="s">
        <v>42</v>
      </c>
      <c r="B10" s="20" t="s">
        <v>43</v>
      </c>
      <c r="C10" s="7"/>
      <c r="D10" s="7"/>
      <c r="E10" s="7"/>
      <c r="F10" s="8"/>
    </row>
    <row r="11" ht="27.75" customHeight="1">
      <c r="A11" s="15" t="s">
        <v>44</v>
      </c>
      <c r="B11" s="20" t="s">
        <v>45</v>
      </c>
      <c r="C11" s="7"/>
      <c r="D11" s="7"/>
      <c r="E11" s="7"/>
      <c r="F11" s="8"/>
    </row>
    <row r="12" ht="27.75" customHeight="1">
      <c r="A12" s="15" t="s">
        <v>46</v>
      </c>
      <c r="B12" s="20" t="s">
        <v>47</v>
      </c>
      <c r="C12" s="7"/>
      <c r="D12" s="7"/>
      <c r="E12" s="7"/>
      <c r="F12" s="8"/>
    </row>
    <row r="13" ht="27.75" customHeight="1">
      <c r="A13" s="15" t="s">
        <v>48</v>
      </c>
      <c r="B13" s="20" t="s">
        <v>50</v>
      </c>
      <c r="C13" s="7"/>
      <c r="D13" s="7"/>
      <c r="E13" s="7"/>
      <c r="F13"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F1"/>
    <mergeCell ref="A2:F2"/>
    <mergeCell ref="A4:F4"/>
    <mergeCell ref="A9:F9"/>
    <mergeCell ref="B10:F10"/>
    <mergeCell ref="B11:F11"/>
    <mergeCell ref="B12:F12"/>
    <mergeCell ref="B13:F13"/>
  </mergeCells>
  <printOptions/>
  <pageMargins bottom="0.75" footer="0.0" header="0.0" left="0.7" right="0.7" top="0.75"/>
  <pageSetup orientation="landscape"/>
  <drawing r:id="rId1"/>
</worksheet>
</file>